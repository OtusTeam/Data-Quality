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 activeTab="2"/>
  </bookViews>
  <sheets>
    <sheet name="Дата-контракт" sheetId="5" r:id="rId1"/>
    <sheet name="MSFO_PL__RU01" sheetId="3" r:id="rId2"/>
    <sheet name="MSFO_MARGINALITY_BASE__RU01" sheetId="6" r:id="rId3"/>
    <sheet name="MSFO_PL_ITEMS_MAPPING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<sst xmlns="http://schemas.openxmlformats.org/spreadsheetml/2006/main" count="994" uniqueCount="128">
  <si>
    <t>ДАТА-КОНТРАКТ на поставку производственных показателей (отчет P&amp;L)</t>
  </si>
  <si>
    <t>1. Стороны и контекст
Поставщик данных: [ Отдел планирования / ФИО ответственного]
Потребитель данных: [Отдел производственной отчетности / Аналитический отдел]
Бизнес-процесс: Формирование производственной отчетности (Оперативный план (ОП), Бизнес-план (БП), Факт), планирование бюджета постоянных расходов.
Гранулярность:
- Производственная площадка
- Отчетный период (Год-Месяц)
- Бизнес-сценарий (ОП, БП, Факт)
- Статья учета (WBS-элемент формата XX-NN-NN-NN, например: VP-01-02-01)</t>
  </si>
  <si>
    <t>2. Спецификация данных (Схема)
Поставщик обязуется передавать данные, соответствующие следующей структуре</t>
  </si>
  <si>
    <t>Поле</t>
  </si>
  <si>
    <t>Тип данных</t>
  </si>
  <si>
    <t>Пример</t>
  </si>
  <si>
    <t>Обязательность</t>
  </si>
  <si>
    <t>Source</t>
  </si>
  <si>
    <t>VARCHAR</t>
  </si>
  <si>
    <t>SAP BPC</t>
  </si>
  <si>
    <t>Да</t>
  </si>
  <si>
    <t>Scenario</t>
  </si>
  <si>
    <t>VARCHAR (ОП, БП, Факт)</t>
  </si>
  <si>
    <t>Факт</t>
  </si>
  <si>
    <t>Date</t>
  </si>
  <si>
    <t>DATE</t>
  </si>
  <si>
    <t>2025-01-01</t>
  </si>
  <si>
    <t>Plant</t>
  </si>
  <si>
    <t>RU01</t>
  </si>
  <si>
    <t>WBS_Element</t>
  </si>
  <si>
    <t>VP-00-00-00</t>
  </si>
  <si>
    <t>RUB</t>
  </si>
  <si>
    <t>DECIMAL</t>
  </si>
  <si>
    <t>Load_Date</t>
  </si>
  <si>
    <t>TIMESTAMP</t>
  </si>
  <si>
    <t>2026-02-09 01:00:00</t>
  </si>
  <si>
    <t>3. Правила DQ</t>
  </si>
  <si>
    <t>Код</t>
  </si>
  <si>
    <t>Логика проверки</t>
  </si>
  <si>
    <t>Критичность</t>
  </si>
  <si>
    <t>DQ Dimension</t>
  </si>
  <si>
    <t>Целевое значение метрики DQ</t>
  </si>
  <si>
    <t>Вес метрики</t>
  </si>
  <si>
    <t>Периодичность проверки</t>
  </si>
  <si>
    <t>Тип проверки</t>
  </si>
  <si>
    <t>DQ_1</t>
  </si>
  <si>
    <t>Данные должны соблюдать иерархию согласно справочнику MSFO_PL_ITEMS_MAPPING. Для каждого отчетного периода, завода и бизнес-сценария должно выполняться правило: показатель на родительском WBS-элементе = сумме показателей дочерних WBS-элементов. Пример: VP-01-00-00 = VP-01-01-00 + VP-01-02-00</t>
  </si>
  <si>
    <t>Высокая</t>
  </si>
  <si>
    <t>Согласованность</t>
  </si>
  <si>
    <t>Ежедневно</t>
  </si>
  <si>
    <t>Бизнес</t>
  </si>
  <si>
    <t>DQ_2</t>
  </si>
  <si>
    <t>По трем ключевым сценариям (ОП, БП, Факт) для каждого завода и периода должны присутствовать значения по WBS-элементам VP,VL,NP-00-00-00.</t>
  </si>
  <si>
    <t>Средняя</t>
  </si>
  <si>
    <t>Полнота</t>
  </si>
  <si>
    <t>DQ_3</t>
  </si>
  <si>
    <t xml:space="preserve">Данные по сценарию Факт за отчетный месяц М-1 должны быть доступны не позднее 8 календарного дня месяца М, следующего за отчетным. Данные по ОП за отчетный месяц М должны быть доступны потребителю не позднее 1 календарного дня отчетного месяца М. </t>
  </si>
  <si>
    <t>Своевременность</t>
  </si>
  <si>
    <t>В день, когда ожидаются данные</t>
  </si>
  <si>
    <t>DQ_4</t>
  </si>
  <si>
    <t>В отчете не могут присутствовать данные по другим заводам</t>
  </si>
  <si>
    <t>Валидность</t>
  </si>
  <si>
    <t>DQ_5</t>
  </si>
  <si>
    <t>В рамках отчетного периода, сценария и завода, максимальная величина расхождения между отчетом P&amp;L и базой маржинальности не должно превышать 1%. Проверка выполняется только по статьям, указанным в маппинге. Статье VP-00-00-00 в P&amp;L соответствует статья "Складские затраты" в БМ, VL-00-00-00 - "Объем производства", NP-00-00-00 - "Выручка"</t>
  </si>
  <si>
    <t>DQ_6</t>
  </si>
  <si>
    <t>Проверка формата и структуры статей: должны соответствовать маске XX-NN-NN-NN, где X - буквы, N - цифры</t>
  </si>
  <si>
    <t>Соответствие</t>
  </si>
  <si>
    <t>Техническая</t>
  </si>
  <si>
    <t>DQ_7</t>
  </si>
  <si>
    <t>Существование статьи: код статьи есть в справочнике MSFO_PL_ITEMS_MAPPING</t>
  </si>
  <si>
    <t>Ссылочная целостность</t>
  </si>
  <si>
    <t>DQ_8</t>
  </si>
  <si>
    <t>Статья не может быть родителем самой себя</t>
  </si>
  <si>
    <t>DQ_9</t>
  </si>
  <si>
    <t>Нет двух строк с двумя уникальными комбинациями завод + период + статья + сценарий</t>
  </si>
  <si>
    <t>Уникальность</t>
  </si>
  <si>
    <t>DQ_10</t>
  </si>
  <si>
    <t>Значение фактических складских затрат в рамках периода и завода не должно отклоняться от среднемесячных фактических складских затрат за прошлый год более, чем на 15%. Значение за предыдущий год равняется 14000.</t>
  </si>
  <si>
    <t>Низкая</t>
  </si>
  <si>
    <t>99.5%+</t>
  </si>
  <si>
    <t>Бизнес/статистическая</t>
  </si>
  <si>
    <t>VP-01-00-00</t>
  </si>
  <si>
    <t>VP-02-00-00</t>
  </si>
  <si>
    <t>VP-03-00-00</t>
  </si>
  <si>
    <t>VP-01-01-00</t>
  </si>
  <si>
    <t>VP-01-02-00</t>
  </si>
  <si>
    <t>VP-01-02-01</t>
  </si>
  <si>
    <t>VP-01-02-02</t>
  </si>
  <si>
    <t>VP-01-02-03</t>
  </si>
  <si>
    <t>VL-00-00-00</t>
  </si>
  <si>
    <t>VL-01-00-00</t>
  </si>
  <si>
    <t>VL-02-00-00</t>
  </si>
  <si>
    <t>VL-03-00-00</t>
  </si>
  <si>
    <t>VL-04-00-00</t>
  </si>
  <si>
    <t>VL-01-01-00</t>
  </si>
  <si>
    <t>VL-01-02-00</t>
  </si>
  <si>
    <t>VL-01-03-00</t>
  </si>
  <si>
    <t>VL-01-01-01</t>
  </si>
  <si>
    <t>VL-01-01-02</t>
  </si>
  <si>
    <t>VL-01-01-03</t>
  </si>
  <si>
    <t>VL-01-01-04</t>
  </si>
  <si>
    <t>VL-01-01-05</t>
  </si>
  <si>
    <t>NP-00-00-00</t>
  </si>
  <si>
    <t>NP-01-00-00</t>
  </si>
  <si>
    <t>NP-02-00-00</t>
  </si>
  <si>
    <t>NP-01-01-00</t>
  </si>
  <si>
    <t>NP-01-02-00</t>
  </si>
  <si>
    <t>NP-01-03-00</t>
  </si>
  <si>
    <t>NP-01-04-00</t>
  </si>
  <si>
    <t>NP-01-05-00</t>
  </si>
  <si>
    <t>NP-02-01-00</t>
  </si>
  <si>
    <t>NP-02-02-00</t>
  </si>
  <si>
    <t>NP-01-01-01</t>
  </si>
  <si>
    <t>NP-01-01-02</t>
  </si>
  <si>
    <t>NP-01-01-03</t>
  </si>
  <si>
    <t>SAP HANA</t>
  </si>
  <si>
    <t>Оперплан</t>
  </si>
  <si>
    <t>2026-01-01 04:00:00</t>
  </si>
  <si>
    <t>1С</t>
  </si>
  <si>
    <t>Бизнес-план</t>
  </si>
  <si>
    <t>2025-12-26 22:22:11</t>
  </si>
  <si>
    <t>Showing</t>
  </si>
  <si>
    <t>DEP/EXCEL/MB/01_XLS</t>
  </si>
  <si>
    <t>Складские затраты</t>
  </si>
  <si>
    <t>2026-02-05 01:00:00</t>
  </si>
  <si>
    <t>Объем производства</t>
  </si>
  <si>
    <t>Выручка</t>
  </si>
  <si>
    <t>Прочие расходы</t>
  </si>
  <si>
    <t>Выручка FCA</t>
  </si>
  <si>
    <t>Фрахт</t>
  </si>
  <si>
    <t>Аренда</t>
  </si>
  <si>
    <t>Коммерческие расходы</t>
  </si>
  <si>
    <t>2025-12-31 21:00:00</t>
  </si>
  <si>
    <t>SAP4_HANA</t>
  </si>
  <si>
    <t>2026-01-01 02:00:00</t>
  </si>
  <si>
    <t>Parental_WBS_Element</t>
  </si>
  <si>
    <t>MARGINALITY_BASE_Showing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</si>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</sst>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dd\.mm\.yyyy"/>
  </numFmts>
  <fonts count="2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9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12" applyNumberFormat="0" applyAlignment="0" applyProtection="0">
      <alignment vertical="center"/>
    </xf>
    <xf numFmtId="0" fontId="15" fillId="6" borderId="13" applyNumberFormat="0" applyAlignment="0" applyProtection="0">
      <alignment vertical="center"/>
    </xf>
    <xf numFmtId="0" fontId="16" fillId="6" borderId="12" applyNumberFormat="0" applyAlignment="0" applyProtection="0">
      <alignment vertical="center"/>
    </xf>
    <xf numFmtId="0" fontId="17" fillId="7" borderId="14" applyNumberFormat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>
      <alignment vertical="center"/>
    </xf>
    <xf numFmtId="0" fontId="2" fillId="0" borderId="0" xfId="0" applyFont="1">
      <alignment vertical="center"/>
    </xf>
    <xf numFmtId="0" fontId="3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80" fontId="2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9" fontId="2" fillId="0" borderId="0" xfId="0" applyNumberFormat="1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80" fontId="2" fillId="0" borderId="0" xfId="0" applyNumberFormat="1" applyFont="1" applyAlignment="1" quotePrefix="1">
      <alignment horizontal="center" vertical="center"/>
    </xf>
    <xf numFmtId="0" fontId="2" fillId="0" borderId="0" xfId="0" applyFont="1" applyAlignment="1" quotePrefix="1">
      <alignment horizontal="center" vertical="center"/>
    </xf>
    <xf numFmtId="180" fontId="0" fillId="0" borderId="0" xfId="0" applyNumberFormat="1" applyAlignment="1" quotePrefix="1">
      <alignment horizontal="center" vertical="center"/>
    </xf>
    <xf numFmtId="0" fontId="0" fillId="0" borderId="0" xfId="0" applyAlignment="1" quotePrefix="1">
      <alignment horizontal="center"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1"/>
  <sheetViews>
    <sheetView zoomScale="65" zoomScaleNormal="65" topLeftCell="A16" workbookViewId="0">
      <selection activeCell="B19" sqref="B19"/>
    </sheetView>
  </sheetViews>
  <sheetFormatPr defaultColWidth="9.02654867256637" defaultRowHeight="18"/>
  <cols>
    <col min="1" max="1" width="20.858407079646" style="8" customWidth="1"/>
    <col min="2" max="2" width="65.1592920353982" style="8" customWidth="1"/>
    <col min="3" max="3" width="21.646017699115" style="8" customWidth="1"/>
    <col min="4" max="4" width="21.6902654867257" style="8" customWidth="1"/>
    <col min="5" max="5" width="33.3008849557522" style="8" customWidth="1"/>
    <col min="6" max="6" width="20.3362831858407" style="8" customWidth="1"/>
    <col min="7" max="7" width="32.4601769911504" style="8" customWidth="1"/>
    <col min="8" max="8" width="27.1858407079646" style="8" customWidth="1"/>
    <col min="9" max="9" width="37.716814159292" style="8" customWidth="1"/>
    <col min="10" max="16384" width="9.02654867256637" style="8"/>
  </cols>
  <sheetData>
    <row r="1" ht="28.5" spans="1:11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ht="261" customHeight="1" spans="1:11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5" ht="48" customHeight="1" spans="1:11">
      <c r="A5" s="11" t="s">
        <v>2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7" spans="1:4">
      <c r="A7" s="12" t="s">
        <v>3</v>
      </c>
      <c r="B7" s="12" t="s">
        <v>4</v>
      </c>
      <c r="C7" s="12" t="s">
        <v>5</v>
      </c>
      <c r="D7" s="12" t="s">
        <v>6</v>
      </c>
    </row>
    <row r="8" spans="1:13">
      <c r="A8" s="13" t="s">
        <v>7</v>
      </c>
      <c r="B8" s="13" t="s">
        <v>8</v>
      </c>
      <c r="C8" s="13" t="s">
        <v>9</v>
      </c>
      <c r="D8" s="13" t="s">
        <v>10</v>
      </c>
      <c r="M8" s="12"/>
    </row>
    <row r="9" spans="1:4">
      <c r="A9" s="13" t="s">
        <v>11</v>
      </c>
      <c r="B9" s="13" t="s">
        <v>12</v>
      </c>
      <c r="C9" s="13" t="s">
        <v>13</v>
      </c>
      <c r="D9" s="13" t="s">
        <v>10</v>
      </c>
    </row>
    <row r="10" spans="1:4">
      <c r="A10" s="13" t="s">
        <v>14</v>
      </c>
      <c r="B10" s="13" t="s">
        <v>15</v>
      </c>
      <c r="C10" s="29" t="s">
        <v>16</v>
      </c>
      <c r="D10" s="13" t="s">
        <v>10</v>
      </c>
    </row>
    <row r="11" spans="1:4">
      <c r="A11" s="13" t="s">
        <v>17</v>
      </c>
      <c r="B11" s="13" t="s">
        <v>8</v>
      </c>
      <c r="C11" s="13" t="s">
        <v>18</v>
      </c>
      <c r="D11" s="13" t="s">
        <v>10</v>
      </c>
    </row>
    <row r="12" spans="1:4">
      <c r="A12" s="13" t="s">
        <v>19</v>
      </c>
      <c r="B12" s="13" t="s">
        <v>8</v>
      </c>
      <c r="C12" s="13" t="s">
        <v>20</v>
      </c>
      <c r="D12" s="13" t="s">
        <v>10</v>
      </c>
    </row>
    <row r="13" spans="1:4">
      <c r="A13" s="13" t="s">
        <v>21</v>
      </c>
      <c r="B13" s="13" t="s">
        <v>22</v>
      </c>
      <c r="C13" s="13">
        <v>15500</v>
      </c>
      <c r="D13" s="13" t="s">
        <v>10</v>
      </c>
    </row>
    <row r="14" spans="1:4">
      <c r="A14" s="13" t="s">
        <v>23</v>
      </c>
      <c r="B14" s="13" t="s">
        <v>24</v>
      </c>
      <c r="C14" s="30" t="s">
        <v>25</v>
      </c>
      <c r="D14" s="13" t="s">
        <v>10</v>
      </c>
    </row>
    <row r="17" ht="24" spans="1:11">
      <c r="A17" s="15" t="s">
        <v>26</v>
      </c>
      <c r="B17" s="15"/>
      <c r="C17" s="15"/>
      <c r="D17" s="15"/>
      <c r="E17" s="15"/>
      <c r="F17" s="15"/>
      <c r="G17" s="15"/>
      <c r="H17" s="16"/>
      <c r="I17" s="16"/>
      <c r="J17" s="16"/>
      <c r="K17" s="16"/>
    </row>
    <row r="18" ht="36" spans="1:9">
      <c r="A18" s="17" t="s">
        <v>27</v>
      </c>
      <c r="B18" s="18" t="s">
        <v>28</v>
      </c>
      <c r="C18" s="18" t="s">
        <v>29</v>
      </c>
      <c r="D18" s="18" t="s">
        <v>30</v>
      </c>
      <c r="E18" s="19" t="s">
        <v>31</v>
      </c>
      <c r="F18" s="18" t="s">
        <v>32</v>
      </c>
      <c r="G18" s="18" t="s">
        <v>33</v>
      </c>
      <c r="H18" s="20" t="s">
        <v>34</v>
      </c>
      <c r="I18" s="12"/>
    </row>
    <row r="19" ht="123" customHeight="1" spans="1:8">
      <c r="A19" s="21" t="s">
        <v>35</v>
      </c>
      <c r="B19" s="22" t="s">
        <v>36</v>
      </c>
      <c r="C19" s="13" t="s">
        <v>37</v>
      </c>
      <c r="D19" s="13" t="s">
        <v>38</v>
      </c>
      <c r="E19" s="23">
        <v>1</v>
      </c>
      <c r="F19" s="13">
        <v>0.25</v>
      </c>
      <c r="G19" s="13" t="s">
        <v>39</v>
      </c>
      <c r="H19" s="24" t="s">
        <v>40</v>
      </c>
    </row>
    <row r="20" ht="76" customHeight="1" spans="1:8">
      <c r="A20" s="21" t="s">
        <v>41</v>
      </c>
      <c r="B20" s="22" t="s">
        <v>42</v>
      </c>
      <c r="C20" s="13" t="s">
        <v>43</v>
      </c>
      <c r="D20" s="13" t="s">
        <v>44</v>
      </c>
      <c r="E20" s="23">
        <v>1</v>
      </c>
      <c r="F20" s="13">
        <v>0.1</v>
      </c>
      <c r="G20" s="13" t="s">
        <v>39</v>
      </c>
      <c r="H20" s="24" t="s">
        <v>40</v>
      </c>
    </row>
    <row r="21" ht="97" customHeight="1" spans="1:8">
      <c r="A21" s="21" t="s">
        <v>45</v>
      </c>
      <c r="B21" s="22" t="s">
        <v>46</v>
      </c>
      <c r="C21" s="13" t="s">
        <v>37</v>
      </c>
      <c r="D21" s="13" t="s">
        <v>47</v>
      </c>
      <c r="E21" s="23">
        <v>1</v>
      </c>
      <c r="F21" s="13">
        <v>0.1</v>
      </c>
      <c r="G21" s="22" t="s">
        <v>48</v>
      </c>
      <c r="H21" s="24" t="s">
        <v>40</v>
      </c>
    </row>
    <row r="22" ht="42" customHeight="1" spans="1:8">
      <c r="A22" s="21" t="s">
        <v>49</v>
      </c>
      <c r="B22" s="22" t="s">
        <v>50</v>
      </c>
      <c r="C22" s="13" t="s">
        <v>43</v>
      </c>
      <c r="D22" s="13" t="s">
        <v>51</v>
      </c>
      <c r="E22" s="23">
        <v>1</v>
      </c>
      <c r="F22" s="13">
        <v>0.05</v>
      </c>
      <c r="G22" s="13" t="s">
        <v>39</v>
      </c>
      <c r="H22" s="24" t="s">
        <v>40</v>
      </c>
    </row>
    <row r="23" ht="126" spans="1:8">
      <c r="A23" s="21" t="s">
        <v>52</v>
      </c>
      <c r="B23" s="22" t="s">
        <v>53</v>
      </c>
      <c r="C23" s="13" t="s">
        <v>37</v>
      </c>
      <c r="D23" s="13" t="s">
        <v>38</v>
      </c>
      <c r="E23" s="23">
        <v>1</v>
      </c>
      <c r="F23" s="13">
        <v>0.25</v>
      </c>
      <c r="G23" s="13" t="s">
        <v>39</v>
      </c>
      <c r="H23" s="24" t="s">
        <v>40</v>
      </c>
    </row>
    <row r="24" ht="54" spans="1:8">
      <c r="A24" s="21" t="s">
        <v>54</v>
      </c>
      <c r="B24" s="22" t="s">
        <v>55</v>
      </c>
      <c r="C24" s="13" t="s">
        <v>37</v>
      </c>
      <c r="D24" s="13" t="s">
        <v>56</v>
      </c>
      <c r="E24" s="23">
        <v>1</v>
      </c>
      <c r="F24" s="13">
        <f t="shared" ref="F24:F27" si="0">0.15/4</f>
        <v>0.0375</v>
      </c>
      <c r="G24" s="13" t="s">
        <v>39</v>
      </c>
      <c r="H24" s="24" t="s">
        <v>57</v>
      </c>
    </row>
    <row r="25" ht="36" spans="1:8">
      <c r="A25" s="21" t="s">
        <v>58</v>
      </c>
      <c r="B25" s="22" t="s">
        <v>59</v>
      </c>
      <c r="C25" s="13" t="s">
        <v>37</v>
      </c>
      <c r="D25" s="13" t="s">
        <v>60</v>
      </c>
      <c r="E25" s="23">
        <v>1</v>
      </c>
      <c r="F25" s="13">
        <f t="shared" si="0"/>
        <v>0.0375</v>
      </c>
      <c r="G25" s="13" t="s">
        <v>39</v>
      </c>
      <c r="H25" s="24" t="s">
        <v>57</v>
      </c>
    </row>
    <row r="26" spans="1:8">
      <c r="A26" s="21" t="s">
        <v>61</v>
      </c>
      <c r="B26" s="22" t="s">
        <v>62</v>
      </c>
      <c r="C26" s="13" t="s">
        <v>43</v>
      </c>
      <c r="D26" s="13" t="s">
        <v>38</v>
      </c>
      <c r="E26" s="23">
        <v>1</v>
      </c>
      <c r="F26" s="13">
        <f t="shared" si="0"/>
        <v>0.0375</v>
      </c>
      <c r="G26" s="13" t="s">
        <v>39</v>
      </c>
      <c r="H26" s="24" t="s">
        <v>57</v>
      </c>
    </row>
    <row r="27" ht="36" spans="1:8">
      <c r="A27" s="21" t="s">
        <v>63</v>
      </c>
      <c r="B27" s="22" t="s">
        <v>64</v>
      </c>
      <c r="C27" s="13" t="s">
        <v>37</v>
      </c>
      <c r="D27" s="13" t="s">
        <v>65</v>
      </c>
      <c r="E27" s="23">
        <v>1</v>
      </c>
      <c r="F27" s="13">
        <f t="shared" si="0"/>
        <v>0.0375</v>
      </c>
      <c r="G27" s="13" t="s">
        <v>39</v>
      </c>
      <c r="H27" s="24" t="s">
        <v>57</v>
      </c>
    </row>
    <row r="28" ht="72.75" spans="1:8">
      <c r="A28" s="25" t="s">
        <v>66</v>
      </c>
      <c r="B28" s="26" t="s">
        <v>67</v>
      </c>
      <c r="C28" s="27" t="s">
        <v>68</v>
      </c>
      <c r="D28" s="27" t="s">
        <v>38</v>
      </c>
      <c r="E28" s="27" t="s">
        <v>69</v>
      </c>
      <c r="F28" s="27">
        <v>0.1</v>
      </c>
      <c r="G28" s="27" t="s">
        <v>39</v>
      </c>
      <c r="H28" s="28" t="s">
        <v>70</v>
      </c>
    </row>
    <row r="30" spans="2:3">
      <c r="B30" s="13"/>
      <c r="C30" s="13"/>
    </row>
    <row r="31" spans="2:3">
      <c r="B31" s="13"/>
      <c r="C31" s="13"/>
    </row>
  </sheetData>
  <mergeCells count="4">
    <mergeCell ref="A1:K1"/>
    <mergeCell ref="A2:K2"/>
    <mergeCell ref="A5:K5"/>
    <mergeCell ref="A17:G17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5"/>
  <sheetViews>
    <sheetView topLeftCell="A29" workbookViewId="0">
      <selection activeCell="B37" sqref="B37"/>
    </sheetView>
  </sheetViews>
  <sheetFormatPr defaultColWidth="9.02654867256637" defaultRowHeight="14.25" outlineLevelCol="6"/>
  <cols>
    <col min="1" max="1" width="11.1592920353982" style="1" customWidth="1"/>
    <col min="2" max="2" width="11.353982300885" style="1" customWidth="1"/>
    <col min="3" max="3" width="10.5309734513274" style="1"/>
    <col min="4" max="4" width="9.89380530973451" style="1" customWidth="1"/>
    <col min="5" max="5" width="15.6017699115044" style="1" customWidth="1"/>
    <col min="6" max="6" width="13.5486725663717" style="1" customWidth="1"/>
    <col min="7" max="7" width="19.7256637168142" customWidth="1"/>
    <col min="8" max="8" width="12.7964601769912" style="7"/>
    <col min="12" max="13" width="9.53097345132743"/>
  </cols>
  <sheetData>
    <row r="1" spans="1:7">
      <c r="A1" s="2" t="s">
        <v>7</v>
      </c>
      <c r="B1" s="2" t="s">
        <v>11</v>
      </c>
      <c r="C1" s="2" t="s">
        <v>14</v>
      </c>
      <c r="D1" s="2" t="s">
        <v>17</v>
      </c>
      <c r="E1" s="2" t="s">
        <v>19</v>
      </c>
      <c r="F1" s="2" t="s">
        <v>21</v>
      </c>
      <c r="G1" s="2" t="s">
        <v>23</v>
      </c>
    </row>
    <row r="2" spans="1:7">
      <c r="A2" s="1" t="s">
        <v>9</v>
      </c>
      <c r="B2" s="1" t="s">
        <v>13</v>
      </c>
      <c r="C2" s="31" t="s">
        <v>16</v>
      </c>
      <c r="D2" s="1" t="s">
        <v>18</v>
      </c>
      <c r="E2" s="1" t="s">
        <v>20</v>
      </c>
      <c r="F2" s="1">
        <v>15500</v>
      </c>
      <c r="G2" s="32" t="s">
        <v>25</v>
      </c>
    </row>
    <row r="3" spans="1:7">
      <c r="A3" s="1" t="s">
        <v>9</v>
      </c>
      <c r="B3" s="1" t="s">
        <v>13</v>
      </c>
      <c r="C3" s="31" t="s">
        <v>16</v>
      </c>
      <c r="D3" s="1" t="s">
        <v>18</v>
      </c>
      <c r="E3" s="1" t="s">
        <v>71</v>
      </c>
      <c r="F3" s="1">
        <v>8100</v>
      </c>
      <c r="G3" s="32" t="s">
        <v>25</v>
      </c>
    </row>
    <row r="4" spans="1:7">
      <c r="A4" s="1" t="s">
        <v>9</v>
      </c>
      <c r="B4" s="1" t="s">
        <v>13</v>
      </c>
      <c r="C4" s="31" t="s">
        <v>16</v>
      </c>
      <c r="D4" s="1" t="s">
        <v>18</v>
      </c>
      <c r="E4" s="1" t="s">
        <v>72</v>
      </c>
      <c r="F4" s="1">
        <v>4500</v>
      </c>
      <c r="G4" s="32" t="s">
        <v>25</v>
      </c>
    </row>
    <row r="5" spans="1:7">
      <c r="A5" s="1" t="s">
        <v>9</v>
      </c>
      <c r="B5" s="1" t="s">
        <v>13</v>
      </c>
      <c r="C5" s="31" t="s">
        <v>16</v>
      </c>
      <c r="D5" s="1" t="s">
        <v>18</v>
      </c>
      <c r="E5" s="1" t="s">
        <v>73</v>
      </c>
      <c r="F5" s="1">
        <v>2800</v>
      </c>
      <c r="G5" s="32" t="s">
        <v>25</v>
      </c>
    </row>
    <row r="6" spans="1:7">
      <c r="A6" s="1" t="s">
        <v>9</v>
      </c>
      <c r="B6" s="1" t="s">
        <v>13</v>
      </c>
      <c r="C6" s="31" t="s">
        <v>16</v>
      </c>
      <c r="D6" s="1" t="s">
        <v>18</v>
      </c>
      <c r="E6" s="1" t="s">
        <v>74</v>
      </c>
      <c r="F6" s="1">
        <v>3100</v>
      </c>
      <c r="G6" s="32" t="s">
        <v>25</v>
      </c>
    </row>
    <row r="7" spans="1:7">
      <c r="A7" s="1" t="s">
        <v>9</v>
      </c>
      <c r="B7" s="1" t="s">
        <v>13</v>
      </c>
      <c r="C7" s="31" t="s">
        <v>16</v>
      </c>
      <c r="D7" s="1" t="s">
        <v>18</v>
      </c>
      <c r="E7" s="1" t="s">
        <v>75</v>
      </c>
      <c r="F7" s="1">
        <v>5000</v>
      </c>
      <c r="G7" s="32" t="s">
        <v>25</v>
      </c>
    </row>
    <row r="8" spans="1:7">
      <c r="A8" s="1" t="s">
        <v>9</v>
      </c>
      <c r="B8" s="1" t="s">
        <v>13</v>
      </c>
      <c r="C8" s="31" t="s">
        <v>16</v>
      </c>
      <c r="D8" s="1" t="s">
        <v>18</v>
      </c>
      <c r="E8" s="1" t="s">
        <v>76</v>
      </c>
      <c r="F8" s="1">
        <v>1200</v>
      </c>
      <c r="G8" s="32" t="s">
        <v>25</v>
      </c>
    </row>
    <row r="9" spans="1:7">
      <c r="A9" s="1" t="s">
        <v>9</v>
      </c>
      <c r="B9" s="1" t="s">
        <v>13</v>
      </c>
      <c r="C9" s="31" t="s">
        <v>16</v>
      </c>
      <c r="D9" s="1" t="s">
        <v>18</v>
      </c>
      <c r="E9" s="1" t="s">
        <v>77</v>
      </c>
      <c r="F9" s="1">
        <v>2300</v>
      </c>
      <c r="G9" s="32" t="s">
        <v>25</v>
      </c>
    </row>
    <row r="10" spans="1:7">
      <c r="A10" s="1" t="s">
        <v>9</v>
      </c>
      <c r="B10" s="1" t="s">
        <v>13</v>
      </c>
      <c r="C10" s="31" t="s">
        <v>16</v>
      </c>
      <c r="D10" s="1" t="s">
        <v>18</v>
      </c>
      <c r="E10" s="1" t="s">
        <v>78</v>
      </c>
      <c r="F10" s="1">
        <v>1500</v>
      </c>
      <c r="G10" s="32" t="s">
        <v>25</v>
      </c>
    </row>
    <row r="11" spans="1:7">
      <c r="A11" s="1" t="s">
        <v>9</v>
      </c>
      <c r="B11" s="1" t="s">
        <v>13</v>
      </c>
      <c r="C11" s="31" t="s">
        <v>16</v>
      </c>
      <c r="D11" s="1" t="s">
        <v>18</v>
      </c>
      <c r="E11" s="1" t="s">
        <v>79</v>
      </c>
      <c r="F11" s="1">
        <v>19500</v>
      </c>
      <c r="G11" s="32" t="s">
        <v>25</v>
      </c>
    </row>
    <row r="12" spans="1:7">
      <c r="A12" s="1" t="s">
        <v>9</v>
      </c>
      <c r="B12" s="1" t="s">
        <v>13</v>
      </c>
      <c r="C12" s="31" t="s">
        <v>16</v>
      </c>
      <c r="D12" s="1" t="s">
        <v>18</v>
      </c>
      <c r="E12" s="1" t="s">
        <v>80</v>
      </c>
      <c r="F12" s="1">
        <v>10500</v>
      </c>
      <c r="G12" s="32" t="s">
        <v>25</v>
      </c>
    </row>
    <row r="13" spans="1:7">
      <c r="A13" s="1" t="s">
        <v>9</v>
      </c>
      <c r="B13" s="1" t="s">
        <v>13</v>
      </c>
      <c r="C13" s="31" t="s">
        <v>16</v>
      </c>
      <c r="D13" s="1" t="s">
        <v>18</v>
      </c>
      <c r="E13" s="1" t="s">
        <v>81</v>
      </c>
      <c r="F13" s="1">
        <v>3300</v>
      </c>
      <c r="G13" s="32" t="s">
        <v>25</v>
      </c>
    </row>
    <row r="14" spans="1:7">
      <c r="A14" s="1" t="s">
        <v>9</v>
      </c>
      <c r="B14" s="1" t="s">
        <v>13</v>
      </c>
      <c r="C14" s="31" t="s">
        <v>16</v>
      </c>
      <c r="D14" s="1" t="s">
        <v>18</v>
      </c>
      <c r="E14" s="1" t="s">
        <v>82</v>
      </c>
      <c r="F14" s="1">
        <v>4200</v>
      </c>
      <c r="G14" s="32" t="s">
        <v>25</v>
      </c>
    </row>
    <row r="15" spans="1:7">
      <c r="A15" s="1" t="s">
        <v>9</v>
      </c>
      <c r="B15" s="1" t="s">
        <v>13</v>
      </c>
      <c r="C15" s="31" t="s">
        <v>16</v>
      </c>
      <c r="D15" s="1" t="s">
        <v>18</v>
      </c>
      <c r="E15" s="1" t="s">
        <v>83</v>
      </c>
      <c r="F15" s="1">
        <v>1500</v>
      </c>
      <c r="G15" s="32" t="s">
        <v>25</v>
      </c>
    </row>
    <row r="16" spans="1:7">
      <c r="A16" s="1" t="s">
        <v>9</v>
      </c>
      <c r="B16" s="1" t="s">
        <v>13</v>
      </c>
      <c r="C16" s="31" t="s">
        <v>16</v>
      </c>
      <c r="D16" s="1" t="s">
        <v>18</v>
      </c>
      <c r="E16" s="1" t="s">
        <v>84</v>
      </c>
      <c r="F16" s="1">
        <v>5000</v>
      </c>
      <c r="G16" s="32" t="s">
        <v>25</v>
      </c>
    </row>
    <row r="17" spans="1:7">
      <c r="A17" s="1" t="s">
        <v>9</v>
      </c>
      <c r="B17" s="1" t="s">
        <v>13</v>
      </c>
      <c r="C17" s="31" t="s">
        <v>16</v>
      </c>
      <c r="D17" s="1" t="s">
        <v>18</v>
      </c>
      <c r="E17" s="1" t="s">
        <v>85</v>
      </c>
      <c r="F17" s="1">
        <v>2500</v>
      </c>
      <c r="G17" s="32" t="s">
        <v>25</v>
      </c>
    </row>
    <row r="18" spans="1:7">
      <c r="A18" s="1" t="s">
        <v>9</v>
      </c>
      <c r="B18" s="1" t="s">
        <v>13</v>
      </c>
      <c r="C18" s="31" t="s">
        <v>16</v>
      </c>
      <c r="D18" s="1" t="s">
        <v>18</v>
      </c>
      <c r="E18" s="1" t="s">
        <v>86</v>
      </c>
      <c r="F18" s="1">
        <v>3000</v>
      </c>
      <c r="G18" s="32" t="s">
        <v>25</v>
      </c>
    </row>
    <row r="19" spans="1:7">
      <c r="A19" s="1" t="s">
        <v>9</v>
      </c>
      <c r="B19" s="1" t="s">
        <v>13</v>
      </c>
      <c r="C19" s="31" t="s">
        <v>16</v>
      </c>
      <c r="D19" s="1" t="s">
        <v>18</v>
      </c>
      <c r="E19" s="1" t="s">
        <v>87</v>
      </c>
      <c r="F19" s="1">
        <v>5000</v>
      </c>
      <c r="G19" s="32" t="s">
        <v>25</v>
      </c>
    </row>
    <row r="20" spans="1:7">
      <c r="A20" s="1" t="s">
        <v>9</v>
      </c>
      <c r="B20" s="1" t="s">
        <v>13</v>
      </c>
      <c r="C20" s="31" t="s">
        <v>16</v>
      </c>
      <c r="D20" s="1" t="s">
        <v>18</v>
      </c>
      <c r="E20" s="1" t="s">
        <v>88</v>
      </c>
      <c r="F20" s="1">
        <v>1100</v>
      </c>
      <c r="G20" s="32" t="s">
        <v>25</v>
      </c>
    </row>
    <row r="21" spans="1:7">
      <c r="A21" s="1" t="s">
        <v>9</v>
      </c>
      <c r="B21" s="1" t="s">
        <v>13</v>
      </c>
      <c r="C21" s="31" t="s">
        <v>16</v>
      </c>
      <c r="D21" s="1" t="s">
        <v>18</v>
      </c>
      <c r="E21" s="1" t="s">
        <v>89</v>
      </c>
      <c r="F21" s="1">
        <v>1300</v>
      </c>
      <c r="G21" s="32" t="s">
        <v>25</v>
      </c>
    </row>
    <row r="22" spans="1:7">
      <c r="A22" s="1" t="s">
        <v>9</v>
      </c>
      <c r="B22" s="1" t="s">
        <v>13</v>
      </c>
      <c r="C22" s="31" t="s">
        <v>16</v>
      </c>
      <c r="D22" s="1" t="s">
        <v>18</v>
      </c>
      <c r="E22" s="1" t="s">
        <v>90</v>
      </c>
      <c r="F22" s="1">
        <v>700</v>
      </c>
      <c r="G22" s="32" t="s">
        <v>25</v>
      </c>
    </row>
    <row r="23" spans="1:7">
      <c r="A23" s="1" t="s">
        <v>9</v>
      </c>
      <c r="B23" s="1" t="s">
        <v>13</v>
      </c>
      <c r="C23" s="31" t="s">
        <v>16</v>
      </c>
      <c r="D23" s="1" t="s">
        <v>18</v>
      </c>
      <c r="E23" s="1" t="s">
        <v>91</v>
      </c>
      <c r="F23" s="1">
        <v>1000</v>
      </c>
      <c r="G23" s="32" t="s">
        <v>25</v>
      </c>
    </row>
    <row r="24" spans="1:7">
      <c r="A24" s="1" t="s">
        <v>9</v>
      </c>
      <c r="B24" s="1" t="s">
        <v>13</v>
      </c>
      <c r="C24" s="31" t="s">
        <v>16</v>
      </c>
      <c r="D24" s="1" t="s">
        <v>18</v>
      </c>
      <c r="E24" s="3" t="s">
        <v>92</v>
      </c>
      <c r="F24" s="1">
        <v>12234420</v>
      </c>
      <c r="G24" s="32" t="s">
        <v>25</v>
      </c>
    </row>
    <row r="25" spans="1:7">
      <c r="A25" s="1" t="s">
        <v>9</v>
      </c>
      <c r="B25" s="1" t="s">
        <v>13</v>
      </c>
      <c r="C25" s="31" t="s">
        <v>16</v>
      </c>
      <c r="D25" s="1" t="s">
        <v>18</v>
      </c>
      <c r="E25" s="1" t="s">
        <v>93</v>
      </c>
      <c r="F25" s="1">
        <v>7785540</v>
      </c>
      <c r="G25" s="32" t="s">
        <v>25</v>
      </c>
    </row>
    <row r="26" spans="1:7">
      <c r="A26" s="1" t="s">
        <v>9</v>
      </c>
      <c r="B26" s="1" t="s">
        <v>13</v>
      </c>
      <c r="C26" s="31" t="s">
        <v>16</v>
      </c>
      <c r="D26" s="1" t="s">
        <v>18</v>
      </c>
      <c r="E26" s="1" t="s">
        <v>94</v>
      </c>
      <c r="F26" s="1">
        <v>4448880</v>
      </c>
      <c r="G26" s="32" t="s">
        <v>25</v>
      </c>
    </row>
    <row r="27" spans="1:7">
      <c r="A27" s="1" t="s">
        <v>9</v>
      </c>
      <c r="B27" s="1" t="s">
        <v>13</v>
      </c>
      <c r="C27" s="31" t="s">
        <v>16</v>
      </c>
      <c r="D27" s="1" t="s">
        <v>18</v>
      </c>
      <c r="E27" s="1" t="s">
        <v>95</v>
      </c>
      <c r="F27" s="1">
        <v>1668330</v>
      </c>
      <c r="G27" s="32" t="s">
        <v>25</v>
      </c>
    </row>
    <row r="28" spans="1:7">
      <c r="A28" s="1" t="s">
        <v>9</v>
      </c>
      <c r="B28" s="1" t="s">
        <v>13</v>
      </c>
      <c r="C28" s="31" t="s">
        <v>16</v>
      </c>
      <c r="D28" s="1" t="s">
        <v>18</v>
      </c>
      <c r="E28" s="1" t="s">
        <v>96</v>
      </c>
      <c r="F28" s="1">
        <v>2335662</v>
      </c>
      <c r="G28" s="32" t="s">
        <v>25</v>
      </c>
    </row>
    <row r="29" spans="1:7">
      <c r="A29" s="1" t="s">
        <v>9</v>
      </c>
      <c r="B29" s="1" t="s">
        <v>13</v>
      </c>
      <c r="C29" s="31" t="s">
        <v>16</v>
      </c>
      <c r="D29" s="1" t="s">
        <v>18</v>
      </c>
      <c r="E29" s="1" t="s">
        <v>97</v>
      </c>
      <c r="F29" s="1">
        <v>2001996</v>
      </c>
      <c r="G29" s="32" t="s">
        <v>25</v>
      </c>
    </row>
    <row r="30" spans="1:7">
      <c r="A30" s="1" t="s">
        <v>9</v>
      </c>
      <c r="B30" s="1" t="s">
        <v>13</v>
      </c>
      <c r="C30" s="31" t="s">
        <v>16</v>
      </c>
      <c r="D30" s="1" t="s">
        <v>18</v>
      </c>
      <c r="E30" s="1" t="s">
        <v>98</v>
      </c>
      <c r="F30" s="1">
        <v>1000998</v>
      </c>
      <c r="G30" s="32" t="s">
        <v>25</v>
      </c>
    </row>
    <row r="31" spans="1:7">
      <c r="A31" s="1" t="s">
        <v>9</v>
      </c>
      <c r="B31" s="1" t="s">
        <v>13</v>
      </c>
      <c r="C31" s="31" t="s">
        <v>16</v>
      </c>
      <c r="D31" s="1" t="s">
        <v>18</v>
      </c>
      <c r="E31" s="1" t="s">
        <v>99</v>
      </c>
      <c r="F31" s="1">
        <v>778554</v>
      </c>
      <c r="G31" s="32" t="s">
        <v>25</v>
      </c>
    </row>
    <row r="32" spans="1:7">
      <c r="A32" s="1" t="s">
        <v>9</v>
      </c>
      <c r="B32" s="1" t="s">
        <v>13</v>
      </c>
      <c r="C32" s="31" t="s">
        <v>16</v>
      </c>
      <c r="D32" s="1" t="s">
        <v>18</v>
      </c>
      <c r="E32" s="1" t="s">
        <v>100</v>
      </c>
      <c r="F32" s="1">
        <v>2891772</v>
      </c>
      <c r="G32" s="32" t="s">
        <v>25</v>
      </c>
    </row>
    <row r="33" spans="1:7">
      <c r="A33" s="1" t="s">
        <v>9</v>
      </c>
      <c r="B33" s="1" t="s">
        <v>13</v>
      </c>
      <c r="C33" s="31" t="s">
        <v>16</v>
      </c>
      <c r="D33" s="1" t="s">
        <v>18</v>
      </c>
      <c r="E33" s="1" t="s">
        <v>101</v>
      </c>
      <c r="F33" s="1">
        <v>1557108</v>
      </c>
      <c r="G33" s="32" t="s">
        <v>25</v>
      </c>
    </row>
    <row r="34" spans="1:7">
      <c r="A34" s="1" t="s">
        <v>9</v>
      </c>
      <c r="B34" s="1" t="s">
        <v>13</v>
      </c>
      <c r="C34" s="31" t="s">
        <v>16</v>
      </c>
      <c r="D34" s="1" t="s">
        <v>18</v>
      </c>
      <c r="E34" s="1" t="s">
        <v>102</v>
      </c>
      <c r="F34" s="1">
        <v>444888</v>
      </c>
      <c r="G34" s="32" t="s">
        <v>25</v>
      </c>
    </row>
    <row r="35" spans="1:7">
      <c r="A35" s="1" t="s">
        <v>9</v>
      </c>
      <c r="B35" s="1" t="s">
        <v>13</v>
      </c>
      <c r="C35" s="31" t="s">
        <v>16</v>
      </c>
      <c r="D35" s="1" t="s">
        <v>18</v>
      </c>
      <c r="E35" s="1" t="s">
        <v>103</v>
      </c>
      <c r="F35" s="1">
        <v>667332</v>
      </c>
      <c r="G35" s="32" t="s">
        <v>25</v>
      </c>
    </row>
    <row r="36" spans="1:7">
      <c r="A36" s="1" t="s">
        <v>9</v>
      </c>
      <c r="B36" s="1" t="s">
        <v>13</v>
      </c>
      <c r="C36" s="31" t="s">
        <v>16</v>
      </c>
      <c r="D36" s="1" t="s">
        <v>18</v>
      </c>
      <c r="E36" s="1" t="s">
        <v>104</v>
      </c>
      <c r="F36" s="1">
        <v>556110</v>
      </c>
      <c r="G36" s="32" t="s">
        <v>25</v>
      </c>
    </row>
    <row r="37" spans="1:7">
      <c r="A37" s="1" t="s">
        <v>105</v>
      </c>
      <c r="B37" s="1" t="s">
        <v>106</v>
      </c>
      <c r="C37" s="31" t="s">
        <v>16</v>
      </c>
      <c r="D37" s="1" t="s">
        <v>18</v>
      </c>
      <c r="E37" s="1" t="s">
        <v>20</v>
      </c>
      <c r="F37" s="1">
        <v>15500</v>
      </c>
      <c r="G37" s="32" t="s">
        <v>107</v>
      </c>
    </row>
    <row r="38" spans="1:7">
      <c r="A38" s="1" t="s">
        <v>105</v>
      </c>
      <c r="B38" s="1" t="s">
        <v>106</v>
      </c>
      <c r="C38" s="31" t="s">
        <v>16</v>
      </c>
      <c r="D38" s="1" t="s">
        <v>18</v>
      </c>
      <c r="E38" s="1" t="s">
        <v>71</v>
      </c>
      <c r="F38" s="1">
        <v>8200</v>
      </c>
      <c r="G38" s="32" t="s">
        <v>107</v>
      </c>
    </row>
    <row r="39" spans="1:7">
      <c r="A39" s="1" t="s">
        <v>105</v>
      </c>
      <c r="B39" s="1" t="s">
        <v>106</v>
      </c>
      <c r="C39" s="31" t="s">
        <v>16</v>
      </c>
      <c r="D39" s="1" t="s">
        <v>18</v>
      </c>
      <c r="E39" s="1" t="s">
        <v>72</v>
      </c>
      <c r="F39" s="1">
        <v>4500</v>
      </c>
      <c r="G39" s="32" t="s">
        <v>107</v>
      </c>
    </row>
    <row r="40" spans="1:7">
      <c r="A40" s="1" t="s">
        <v>105</v>
      </c>
      <c r="B40" s="1" t="s">
        <v>106</v>
      </c>
      <c r="C40" s="31" t="s">
        <v>16</v>
      </c>
      <c r="D40" s="1" t="s">
        <v>18</v>
      </c>
      <c r="E40" s="1" t="s">
        <v>73</v>
      </c>
      <c r="F40" s="1">
        <v>2800</v>
      </c>
      <c r="G40" s="32" t="s">
        <v>107</v>
      </c>
    </row>
    <row r="41" spans="1:7">
      <c r="A41" s="1" t="s">
        <v>105</v>
      </c>
      <c r="B41" s="1" t="s">
        <v>106</v>
      </c>
      <c r="C41" s="31" t="s">
        <v>16</v>
      </c>
      <c r="D41" s="1" t="s">
        <v>18</v>
      </c>
      <c r="E41" s="1" t="s">
        <v>74</v>
      </c>
      <c r="F41" s="1">
        <v>3200</v>
      </c>
      <c r="G41" s="32" t="s">
        <v>107</v>
      </c>
    </row>
    <row r="42" spans="1:7">
      <c r="A42" s="1" t="s">
        <v>105</v>
      </c>
      <c r="B42" s="1" t="s">
        <v>106</v>
      </c>
      <c r="C42" s="31" t="s">
        <v>16</v>
      </c>
      <c r="D42" s="1" t="s">
        <v>18</v>
      </c>
      <c r="E42" s="1" t="s">
        <v>75</v>
      </c>
      <c r="F42" s="1">
        <v>5000</v>
      </c>
      <c r="G42" s="32" t="s">
        <v>107</v>
      </c>
    </row>
    <row r="43" spans="1:7">
      <c r="A43" s="1" t="s">
        <v>105</v>
      </c>
      <c r="B43" s="1" t="s">
        <v>106</v>
      </c>
      <c r="C43" s="31" t="s">
        <v>16</v>
      </c>
      <c r="D43" s="1" t="s">
        <v>18</v>
      </c>
      <c r="E43" s="1" t="s">
        <v>76</v>
      </c>
      <c r="F43" s="1">
        <v>1200</v>
      </c>
      <c r="G43" s="32" t="s">
        <v>107</v>
      </c>
    </row>
    <row r="44" spans="1:7">
      <c r="A44" s="1" t="s">
        <v>105</v>
      </c>
      <c r="B44" s="1" t="s">
        <v>106</v>
      </c>
      <c r="C44" s="31" t="s">
        <v>16</v>
      </c>
      <c r="D44" s="1" t="s">
        <v>18</v>
      </c>
      <c r="E44" s="1" t="s">
        <v>77</v>
      </c>
      <c r="F44" s="1">
        <v>2300</v>
      </c>
      <c r="G44" s="32" t="s">
        <v>107</v>
      </c>
    </row>
    <row r="45" spans="1:7">
      <c r="A45" s="1" t="s">
        <v>105</v>
      </c>
      <c r="B45" s="1" t="s">
        <v>106</v>
      </c>
      <c r="C45" s="31" t="s">
        <v>16</v>
      </c>
      <c r="D45" s="1" t="s">
        <v>18</v>
      </c>
      <c r="E45" s="1" t="s">
        <v>78</v>
      </c>
      <c r="F45" s="1">
        <v>1500</v>
      </c>
      <c r="G45" s="32" t="s">
        <v>107</v>
      </c>
    </row>
    <row r="46" spans="1:7">
      <c r="A46" s="1" t="s">
        <v>105</v>
      </c>
      <c r="B46" s="1" t="s">
        <v>106</v>
      </c>
      <c r="C46" s="31" t="s">
        <v>16</v>
      </c>
      <c r="D46" s="1" t="s">
        <v>18</v>
      </c>
      <c r="E46" s="1" t="s">
        <v>79</v>
      </c>
      <c r="F46" s="1">
        <v>19500</v>
      </c>
      <c r="G46" s="32" t="s">
        <v>107</v>
      </c>
    </row>
    <row r="47" spans="1:7">
      <c r="A47" s="1" t="s">
        <v>105</v>
      </c>
      <c r="B47" s="1" t="s">
        <v>106</v>
      </c>
      <c r="C47" s="31" t="s">
        <v>16</v>
      </c>
      <c r="D47" s="1" t="s">
        <v>18</v>
      </c>
      <c r="E47" s="1" t="s">
        <v>80</v>
      </c>
      <c r="F47" s="1">
        <v>10500</v>
      </c>
      <c r="G47" s="32" t="s">
        <v>107</v>
      </c>
    </row>
    <row r="48" spans="1:7">
      <c r="A48" s="1" t="s">
        <v>105</v>
      </c>
      <c r="B48" s="1" t="s">
        <v>106</v>
      </c>
      <c r="C48" s="31" t="s">
        <v>16</v>
      </c>
      <c r="D48" s="1" t="s">
        <v>18</v>
      </c>
      <c r="E48" s="1" t="s">
        <v>81</v>
      </c>
      <c r="F48" s="1">
        <v>3300</v>
      </c>
      <c r="G48" s="32" t="s">
        <v>107</v>
      </c>
    </row>
    <row r="49" spans="1:7">
      <c r="A49" s="1" t="s">
        <v>105</v>
      </c>
      <c r="B49" s="1" t="s">
        <v>106</v>
      </c>
      <c r="C49" s="31" t="s">
        <v>16</v>
      </c>
      <c r="D49" s="1" t="s">
        <v>18</v>
      </c>
      <c r="E49" s="1" t="s">
        <v>82</v>
      </c>
      <c r="F49" s="1">
        <v>4200</v>
      </c>
      <c r="G49" s="32" t="s">
        <v>107</v>
      </c>
    </row>
    <row r="50" spans="1:7">
      <c r="A50" s="1" t="s">
        <v>105</v>
      </c>
      <c r="B50" s="1" t="s">
        <v>106</v>
      </c>
      <c r="C50" s="31" t="s">
        <v>16</v>
      </c>
      <c r="D50" s="1" t="s">
        <v>18</v>
      </c>
      <c r="E50" s="1" t="s">
        <v>83</v>
      </c>
      <c r="F50" s="1">
        <v>1500</v>
      </c>
      <c r="G50" s="32" t="s">
        <v>107</v>
      </c>
    </row>
    <row r="51" spans="1:7">
      <c r="A51" s="1" t="s">
        <v>105</v>
      </c>
      <c r="B51" s="1" t="s">
        <v>106</v>
      </c>
      <c r="C51" s="31" t="s">
        <v>16</v>
      </c>
      <c r="D51" s="1" t="s">
        <v>18</v>
      </c>
      <c r="E51" s="1" t="s">
        <v>84</v>
      </c>
      <c r="F51" s="1">
        <v>5000</v>
      </c>
      <c r="G51" s="32" t="s">
        <v>107</v>
      </c>
    </row>
    <row r="52" spans="1:7">
      <c r="A52" s="1" t="s">
        <v>105</v>
      </c>
      <c r="B52" s="1" t="s">
        <v>106</v>
      </c>
      <c r="C52" s="31" t="s">
        <v>16</v>
      </c>
      <c r="D52" s="1" t="s">
        <v>18</v>
      </c>
      <c r="E52" s="1" t="s">
        <v>85</v>
      </c>
      <c r="F52" s="1">
        <v>2500</v>
      </c>
      <c r="G52" s="32" t="s">
        <v>107</v>
      </c>
    </row>
    <row r="53" spans="1:7">
      <c r="A53" s="1" t="s">
        <v>105</v>
      </c>
      <c r="B53" s="1" t="s">
        <v>106</v>
      </c>
      <c r="C53" s="31" t="s">
        <v>16</v>
      </c>
      <c r="D53" s="1" t="s">
        <v>18</v>
      </c>
      <c r="E53" s="1" t="s">
        <v>86</v>
      </c>
      <c r="F53" s="1">
        <v>3000</v>
      </c>
      <c r="G53" s="32" t="s">
        <v>107</v>
      </c>
    </row>
    <row r="54" spans="1:7">
      <c r="A54" s="1" t="s">
        <v>105</v>
      </c>
      <c r="B54" s="1" t="s">
        <v>106</v>
      </c>
      <c r="C54" s="31" t="s">
        <v>16</v>
      </c>
      <c r="D54" s="1" t="s">
        <v>18</v>
      </c>
      <c r="E54" s="1" t="s">
        <v>87</v>
      </c>
      <c r="F54" s="1">
        <v>5000</v>
      </c>
      <c r="G54" s="32" t="s">
        <v>107</v>
      </c>
    </row>
    <row r="55" spans="1:7">
      <c r="A55" s="1" t="s">
        <v>105</v>
      </c>
      <c r="B55" s="1" t="s">
        <v>106</v>
      </c>
      <c r="C55" s="31" t="s">
        <v>16</v>
      </c>
      <c r="D55" s="1" t="s">
        <v>18</v>
      </c>
      <c r="E55" s="1" t="s">
        <v>88</v>
      </c>
      <c r="F55" s="1">
        <v>1100</v>
      </c>
      <c r="G55" s="32" t="s">
        <v>107</v>
      </c>
    </row>
    <row r="56" spans="1:7">
      <c r="A56" s="1" t="s">
        <v>105</v>
      </c>
      <c r="B56" s="1" t="s">
        <v>106</v>
      </c>
      <c r="C56" s="31" t="s">
        <v>16</v>
      </c>
      <c r="D56" s="1" t="s">
        <v>18</v>
      </c>
      <c r="E56" s="1" t="s">
        <v>89</v>
      </c>
      <c r="F56" s="1">
        <v>1300</v>
      </c>
      <c r="G56" s="32" t="s">
        <v>107</v>
      </c>
    </row>
    <row r="57" spans="1:7">
      <c r="A57" s="1" t="s">
        <v>105</v>
      </c>
      <c r="B57" s="1" t="s">
        <v>106</v>
      </c>
      <c r="C57" s="31" t="s">
        <v>16</v>
      </c>
      <c r="D57" s="1" t="s">
        <v>18</v>
      </c>
      <c r="E57" s="1" t="s">
        <v>90</v>
      </c>
      <c r="F57" s="1">
        <v>700</v>
      </c>
      <c r="G57" s="32" t="s">
        <v>107</v>
      </c>
    </row>
    <row r="58" spans="1:7">
      <c r="A58" s="1" t="s">
        <v>105</v>
      </c>
      <c r="B58" s="1" t="s">
        <v>106</v>
      </c>
      <c r="C58" s="31" t="s">
        <v>16</v>
      </c>
      <c r="D58" s="1" t="s">
        <v>18</v>
      </c>
      <c r="E58" s="1" t="s">
        <v>91</v>
      </c>
      <c r="F58" s="1">
        <v>1000</v>
      </c>
      <c r="G58" s="32" t="s">
        <v>107</v>
      </c>
    </row>
    <row r="59" spans="1:7">
      <c r="A59" s="1" t="s">
        <v>105</v>
      </c>
      <c r="B59" s="1" t="s">
        <v>106</v>
      </c>
      <c r="C59" s="31" t="s">
        <v>16</v>
      </c>
      <c r="D59" s="1" t="s">
        <v>18</v>
      </c>
      <c r="E59" s="3" t="s">
        <v>92</v>
      </c>
      <c r="F59" s="6">
        <v>12234420</v>
      </c>
      <c r="G59" s="32" t="s">
        <v>107</v>
      </c>
    </row>
    <row r="60" spans="1:7">
      <c r="A60" s="1" t="s">
        <v>105</v>
      </c>
      <c r="B60" s="1" t="s">
        <v>106</v>
      </c>
      <c r="C60" s="31" t="s">
        <v>16</v>
      </c>
      <c r="D60" s="1" t="s">
        <v>18</v>
      </c>
      <c r="E60" s="1" t="s">
        <v>93</v>
      </c>
      <c r="F60" s="6">
        <v>7785540</v>
      </c>
      <c r="G60" s="32" t="s">
        <v>107</v>
      </c>
    </row>
    <row r="61" spans="1:7">
      <c r="A61" s="1" t="s">
        <v>105</v>
      </c>
      <c r="B61" s="1" t="s">
        <v>106</v>
      </c>
      <c r="C61" s="31" t="s">
        <v>16</v>
      </c>
      <c r="D61" s="1" t="s">
        <v>18</v>
      </c>
      <c r="E61" s="1" t="s">
        <v>94</v>
      </c>
      <c r="F61" s="6">
        <v>4448880</v>
      </c>
      <c r="G61" s="32" t="s">
        <v>107</v>
      </c>
    </row>
    <row r="62" spans="1:7">
      <c r="A62" s="1" t="s">
        <v>105</v>
      </c>
      <c r="B62" s="1" t="s">
        <v>106</v>
      </c>
      <c r="C62" s="31" t="s">
        <v>16</v>
      </c>
      <c r="D62" s="1" t="s">
        <v>18</v>
      </c>
      <c r="E62" s="1" t="s">
        <v>95</v>
      </c>
      <c r="F62" s="6">
        <v>1668330</v>
      </c>
      <c r="G62" s="32" t="s">
        <v>107</v>
      </c>
    </row>
    <row r="63" spans="1:7">
      <c r="A63" s="1" t="s">
        <v>105</v>
      </c>
      <c r="B63" s="1" t="s">
        <v>106</v>
      </c>
      <c r="C63" s="31" t="s">
        <v>16</v>
      </c>
      <c r="D63" s="1" t="s">
        <v>18</v>
      </c>
      <c r="E63" s="1" t="s">
        <v>96</v>
      </c>
      <c r="F63" s="6">
        <v>2335662</v>
      </c>
      <c r="G63" s="32" t="s">
        <v>107</v>
      </c>
    </row>
    <row r="64" spans="1:7">
      <c r="A64" s="1" t="s">
        <v>105</v>
      </c>
      <c r="B64" s="1" t="s">
        <v>106</v>
      </c>
      <c r="C64" s="31" t="s">
        <v>16</v>
      </c>
      <c r="D64" s="1" t="s">
        <v>18</v>
      </c>
      <c r="E64" s="1" t="s">
        <v>97</v>
      </c>
      <c r="F64" s="6">
        <v>2001996</v>
      </c>
      <c r="G64" s="32" t="s">
        <v>107</v>
      </c>
    </row>
    <row r="65" spans="1:7">
      <c r="A65" s="1" t="s">
        <v>105</v>
      </c>
      <c r="B65" s="1" t="s">
        <v>106</v>
      </c>
      <c r="C65" s="31" t="s">
        <v>16</v>
      </c>
      <c r="D65" s="1" t="s">
        <v>18</v>
      </c>
      <c r="E65" s="1" t="s">
        <v>98</v>
      </c>
      <c r="F65" s="6">
        <v>1000998</v>
      </c>
      <c r="G65" s="32" t="s">
        <v>107</v>
      </c>
    </row>
    <row r="66" spans="1:7">
      <c r="A66" s="1" t="s">
        <v>105</v>
      </c>
      <c r="B66" s="1" t="s">
        <v>106</v>
      </c>
      <c r="C66" s="31" t="s">
        <v>16</v>
      </c>
      <c r="D66" s="1" t="s">
        <v>18</v>
      </c>
      <c r="E66" s="1" t="s">
        <v>99</v>
      </c>
      <c r="F66" s="6">
        <v>778554</v>
      </c>
      <c r="G66" s="32" t="s">
        <v>107</v>
      </c>
    </row>
    <row r="67" spans="1:7">
      <c r="A67" s="1" t="s">
        <v>105</v>
      </c>
      <c r="B67" s="1" t="s">
        <v>106</v>
      </c>
      <c r="C67" s="31" t="s">
        <v>16</v>
      </c>
      <c r="D67" s="1" t="s">
        <v>18</v>
      </c>
      <c r="E67" s="1" t="s">
        <v>100</v>
      </c>
      <c r="F67" s="6">
        <v>2891772</v>
      </c>
      <c r="G67" s="32" t="s">
        <v>107</v>
      </c>
    </row>
    <row r="68" spans="1:7">
      <c r="A68" s="1" t="s">
        <v>105</v>
      </c>
      <c r="B68" s="1" t="s">
        <v>106</v>
      </c>
      <c r="C68" s="31" t="s">
        <v>16</v>
      </c>
      <c r="D68" s="1" t="s">
        <v>18</v>
      </c>
      <c r="E68" s="1" t="s">
        <v>101</v>
      </c>
      <c r="F68" s="6">
        <v>1557108</v>
      </c>
      <c r="G68" s="32" t="s">
        <v>107</v>
      </c>
    </row>
    <row r="69" spans="1:7">
      <c r="A69" s="1" t="s">
        <v>105</v>
      </c>
      <c r="B69" s="1" t="s">
        <v>106</v>
      </c>
      <c r="C69" s="31" t="s">
        <v>16</v>
      </c>
      <c r="D69" s="1" t="s">
        <v>18</v>
      </c>
      <c r="E69" s="1" t="s">
        <v>102</v>
      </c>
      <c r="F69" s="6">
        <v>444888</v>
      </c>
      <c r="G69" s="32" t="s">
        <v>107</v>
      </c>
    </row>
    <row r="70" spans="1:7">
      <c r="A70" s="1" t="s">
        <v>105</v>
      </c>
      <c r="B70" s="1" t="s">
        <v>106</v>
      </c>
      <c r="C70" s="31" t="s">
        <v>16</v>
      </c>
      <c r="D70" s="1" t="s">
        <v>18</v>
      </c>
      <c r="E70" s="1" t="s">
        <v>103</v>
      </c>
      <c r="F70" s="6">
        <v>667332</v>
      </c>
      <c r="G70" s="32" t="s">
        <v>107</v>
      </c>
    </row>
    <row r="71" spans="1:7">
      <c r="A71" s="1" t="s">
        <v>105</v>
      </c>
      <c r="B71" s="1" t="s">
        <v>106</v>
      </c>
      <c r="C71" s="31" t="s">
        <v>16</v>
      </c>
      <c r="D71" s="1" t="s">
        <v>18</v>
      </c>
      <c r="E71" s="1" t="s">
        <v>104</v>
      </c>
      <c r="F71" s="6">
        <v>556110</v>
      </c>
      <c r="G71" s="32" t="s">
        <v>107</v>
      </c>
    </row>
    <row r="72" spans="1:7">
      <c r="A72" s="1" t="s">
        <v>108</v>
      </c>
      <c r="B72" s="1" t="s">
        <v>109</v>
      </c>
      <c r="C72" s="31" t="s">
        <v>16</v>
      </c>
      <c r="D72" s="1" t="s">
        <v>18</v>
      </c>
      <c r="E72" s="1" t="s">
        <v>71</v>
      </c>
      <c r="F72" s="1">
        <v>8200</v>
      </c>
      <c r="G72" s="32" t="s">
        <v>110</v>
      </c>
    </row>
    <row r="73" spans="1:7">
      <c r="A73" s="1" t="s">
        <v>108</v>
      </c>
      <c r="B73" s="1" t="s">
        <v>109</v>
      </c>
      <c r="C73" s="31" t="s">
        <v>16</v>
      </c>
      <c r="D73" s="1" t="s">
        <v>18</v>
      </c>
      <c r="E73" s="1" t="s">
        <v>72</v>
      </c>
      <c r="F73" s="1">
        <v>4500</v>
      </c>
      <c r="G73" s="32" t="s">
        <v>110</v>
      </c>
    </row>
    <row r="74" spans="1:7">
      <c r="A74" s="1" t="s">
        <v>108</v>
      </c>
      <c r="B74" s="1" t="s">
        <v>109</v>
      </c>
      <c r="C74" s="31" t="s">
        <v>16</v>
      </c>
      <c r="D74" s="1" t="s">
        <v>18</v>
      </c>
      <c r="E74" s="1" t="s">
        <v>73</v>
      </c>
      <c r="F74" s="1">
        <v>2800</v>
      </c>
      <c r="G74" s="32" t="s">
        <v>110</v>
      </c>
    </row>
    <row r="75" spans="1:7">
      <c r="A75" s="1" t="s">
        <v>108</v>
      </c>
      <c r="B75" s="1" t="s">
        <v>109</v>
      </c>
      <c r="C75" s="31" t="s">
        <v>16</v>
      </c>
      <c r="D75" s="1" t="s">
        <v>18</v>
      </c>
      <c r="E75" s="1" t="s">
        <v>74</v>
      </c>
      <c r="F75" s="1">
        <v>3200</v>
      </c>
      <c r="G75" s="32" t="s">
        <v>110</v>
      </c>
    </row>
    <row r="76" spans="1:7">
      <c r="A76" s="1" t="s">
        <v>108</v>
      </c>
      <c r="B76" s="1" t="s">
        <v>109</v>
      </c>
      <c r="C76" s="31" t="s">
        <v>16</v>
      </c>
      <c r="D76" s="1" t="s">
        <v>18</v>
      </c>
      <c r="E76" s="1" t="s">
        <v>75</v>
      </c>
      <c r="F76" s="1">
        <v>5000</v>
      </c>
      <c r="G76" s="32" t="s">
        <v>110</v>
      </c>
    </row>
    <row r="77" spans="1:7">
      <c r="A77" s="1" t="s">
        <v>108</v>
      </c>
      <c r="B77" s="1" t="s">
        <v>109</v>
      </c>
      <c r="C77" s="31" t="s">
        <v>16</v>
      </c>
      <c r="D77" s="1" t="s">
        <v>18</v>
      </c>
      <c r="E77" s="1" t="s">
        <v>76</v>
      </c>
      <c r="F77" s="1">
        <v>1200</v>
      </c>
      <c r="G77" s="32" t="s">
        <v>110</v>
      </c>
    </row>
    <row r="78" spans="1:7">
      <c r="A78" s="1" t="s">
        <v>108</v>
      </c>
      <c r="B78" s="1" t="s">
        <v>109</v>
      </c>
      <c r="C78" s="31" t="s">
        <v>16</v>
      </c>
      <c r="D78" s="1" t="s">
        <v>18</v>
      </c>
      <c r="E78" s="1" t="s">
        <v>77</v>
      </c>
      <c r="F78" s="1">
        <v>2300</v>
      </c>
      <c r="G78" s="32" t="s">
        <v>110</v>
      </c>
    </row>
    <row r="79" spans="1:7">
      <c r="A79" s="1" t="s">
        <v>108</v>
      </c>
      <c r="B79" s="1" t="s">
        <v>109</v>
      </c>
      <c r="C79" s="31" t="s">
        <v>16</v>
      </c>
      <c r="D79" s="1" t="s">
        <v>18</v>
      </c>
      <c r="E79" s="1" t="s">
        <v>78</v>
      </c>
      <c r="F79" s="1">
        <v>1500</v>
      </c>
      <c r="G79" s="32" t="s">
        <v>110</v>
      </c>
    </row>
    <row r="80" spans="1:7">
      <c r="A80" s="1" t="s">
        <v>108</v>
      </c>
      <c r="B80" s="1" t="s">
        <v>109</v>
      </c>
      <c r="C80" s="31" t="s">
        <v>16</v>
      </c>
      <c r="D80" s="1" t="s">
        <v>18</v>
      </c>
      <c r="E80" s="1" t="s">
        <v>79</v>
      </c>
      <c r="F80" s="1">
        <v>19500</v>
      </c>
      <c r="G80" s="32" t="s">
        <v>110</v>
      </c>
    </row>
    <row r="81" spans="1:7">
      <c r="A81" s="1" t="s">
        <v>108</v>
      </c>
      <c r="B81" s="1" t="s">
        <v>109</v>
      </c>
      <c r="C81" s="31" t="s">
        <v>16</v>
      </c>
      <c r="D81" s="1" t="s">
        <v>18</v>
      </c>
      <c r="E81" s="1" t="s">
        <v>80</v>
      </c>
      <c r="F81" s="1">
        <v>10500</v>
      </c>
      <c r="G81" s="32" t="s">
        <v>110</v>
      </c>
    </row>
    <row r="82" spans="1:7">
      <c r="A82" s="1" t="s">
        <v>108</v>
      </c>
      <c r="B82" s="1" t="s">
        <v>109</v>
      </c>
      <c r="C82" s="31" t="s">
        <v>16</v>
      </c>
      <c r="D82" s="1" t="s">
        <v>18</v>
      </c>
      <c r="E82" s="1" t="s">
        <v>81</v>
      </c>
      <c r="F82" s="1">
        <v>3300</v>
      </c>
      <c r="G82" s="32" t="s">
        <v>110</v>
      </c>
    </row>
    <row r="83" spans="1:7">
      <c r="A83" s="1" t="s">
        <v>108</v>
      </c>
      <c r="B83" s="1" t="s">
        <v>109</v>
      </c>
      <c r="C83" s="31" t="s">
        <v>16</v>
      </c>
      <c r="D83" s="1" t="s">
        <v>18</v>
      </c>
      <c r="E83" s="1" t="s">
        <v>82</v>
      </c>
      <c r="F83" s="1">
        <v>4200</v>
      </c>
      <c r="G83" s="32" t="s">
        <v>110</v>
      </c>
    </row>
    <row r="84" spans="1:7">
      <c r="A84" s="1" t="s">
        <v>108</v>
      </c>
      <c r="B84" s="1" t="s">
        <v>109</v>
      </c>
      <c r="C84" s="31" t="s">
        <v>16</v>
      </c>
      <c r="D84" s="1" t="s">
        <v>18</v>
      </c>
      <c r="E84" s="1" t="s">
        <v>83</v>
      </c>
      <c r="F84" s="1">
        <v>1500</v>
      </c>
      <c r="G84" s="32" t="s">
        <v>110</v>
      </c>
    </row>
    <row r="85" spans="1:7">
      <c r="A85" s="1" t="s">
        <v>108</v>
      </c>
      <c r="B85" s="1" t="s">
        <v>109</v>
      </c>
      <c r="C85" s="31" t="s">
        <v>16</v>
      </c>
      <c r="D85" s="1" t="s">
        <v>18</v>
      </c>
      <c r="E85" s="1" t="s">
        <v>84</v>
      </c>
      <c r="F85" s="1">
        <v>5000</v>
      </c>
      <c r="G85" s="32" t="s">
        <v>110</v>
      </c>
    </row>
    <row r="86" spans="1:7">
      <c r="A86" s="1" t="s">
        <v>108</v>
      </c>
      <c r="B86" s="1" t="s">
        <v>109</v>
      </c>
      <c r="C86" s="31" t="s">
        <v>16</v>
      </c>
      <c r="D86" s="1" t="s">
        <v>18</v>
      </c>
      <c r="E86" s="1" t="s">
        <v>85</v>
      </c>
      <c r="F86" s="1">
        <v>2500</v>
      </c>
      <c r="G86" s="32" t="s">
        <v>110</v>
      </c>
    </row>
    <row r="87" spans="1:7">
      <c r="A87" s="1" t="s">
        <v>108</v>
      </c>
      <c r="B87" s="1" t="s">
        <v>109</v>
      </c>
      <c r="C87" s="31" t="s">
        <v>16</v>
      </c>
      <c r="D87" s="1" t="s">
        <v>18</v>
      </c>
      <c r="E87" s="1" t="s">
        <v>86</v>
      </c>
      <c r="F87" s="1">
        <v>3000</v>
      </c>
      <c r="G87" s="32" t="s">
        <v>110</v>
      </c>
    </row>
    <row r="88" spans="1:7">
      <c r="A88" s="1" t="s">
        <v>108</v>
      </c>
      <c r="B88" s="1" t="s">
        <v>109</v>
      </c>
      <c r="C88" s="31" t="s">
        <v>16</v>
      </c>
      <c r="D88" s="1" t="s">
        <v>18</v>
      </c>
      <c r="E88" s="1" t="s">
        <v>87</v>
      </c>
      <c r="F88" s="1">
        <v>5000</v>
      </c>
      <c r="G88" s="32" t="s">
        <v>110</v>
      </c>
    </row>
    <row r="89" spans="1:7">
      <c r="A89" s="1" t="s">
        <v>108</v>
      </c>
      <c r="B89" s="1" t="s">
        <v>109</v>
      </c>
      <c r="C89" s="31" t="s">
        <v>16</v>
      </c>
      <c r="D89" s="1" t="s">
        <v>18</v>
      </c>
      <c r="E89" s="1" t="s">
        <v>88</v>
      </c>
      <c r="F89" s="1">
        <v>1100</v>
      </c>
      <c r="G89" s="32" t="s">
        <v>110</v>
      </c>
    </row>
    <row r="90" spans="1:7">
      <c r="A90" s="1" t="s">
        <v>108</v>
      </c>
      <c r="B90" s="1" t="s">
        <v>109</v>
      </c>
      <c r="C90" s="31" t="s">
        <v>16</v>
      </c>
      <c r="D90" s="1" t="s">
        <v>18</v>
      </c>
      <c r="E90" s="1" t="s">
        <v>89</v>
      </c>
      <c r="F90" s="1">
        <v>1300</v>
      </c>
      <c r="G90" s="32" t="s">
        <v>110</v>
      </c>
    </row>
    <row r="91" spans="1:7">
      <c r="A91" s="1" t="s">
        <v>108</v>
      </c>
      <c r="B91" s="1" t="s">
        <v>109</v>
      </c>
      <c r="C91" s="31" t="s">
        <v>16</v>
      </c>
      <c r="D91" s="1" t="s">
        <v>18</v>
      </c>
      <c r="E91" s="1" t="s">
        <v>90</v>
      </c>
      <c r="F91" s="1">
        <v>700</v>
      </c>
      <c r="G91" s="32" t="s">
        <v>110</v>
      </c>
    </row>
    <row r="92" spans="1:7">
      <c r="A92" s="1" t="s">
        <v>108</v>
      </c>
      <c r="B92" s="1" t="s">
        <v>109</v>
      </c>
      <c r="C92" s="31" t="s">
        <v>16</v>
      </c>
      <c r="D92" s="1" t="s">
        <v>18</v>
      </c>
      <c r="E92" s="1" t="s">
        <v>91</v>
      </c>
      <c r="F92" s="1">
        <v>1000</v>
      </c>
      <c r="G92" s="32" t="s">
        <v>110</v>
      </c>
    </row>
    <row r="93" spans="1:7">
      <c r="A93" s="1" t="s">
        <v>108</v>
      </c>
      <c r="B93" s="1" t="s">
        <v>109</v>
      </c>
      <c r="C93" s="31" t="s">
        <v>16</v>
      </c>
      <c r="D93" s="1" t="s">
        <v>18</v>
      </c>
      <c r="E93" s="3" t="s">
        <v>92</v>
      </c>
      <c r="F93" s="6">
        <v>25080</v>
      </c>
      <c r="G93" s="32" t="s">
        <v>110</v>
      </c>
    </row>
    <row r="94" spans="1:7">
      <c r="A94" s="1" t="s">
        <v>108</v>
      </c>
      <c r="B94" s="1" t="s">
        <v>109</v>
      </c>
      <c r="C94" s="31" t="s">
        <v>16</v>
      </c>
      <c r="D94" s="1" t="s">
        <v>18</v>
      </c>
      <c r="E94" s="1" t="s">
        <v>93</v>
      </c>
      <c r="F94" s="6">
        <v>15960</v>
      </c>
      <c r="G94" s="32" t="s">
        <v>110</v>
      </c>
    </row>
    <row r="95" spans="1:7">
      <c r="A95" s="1" t="s">
        <v>108</v>
      </c>
      <c r="B95" s="1" t="s">
        <v>109</v>
      </c>
      <c r="C95" s="31" t="s">
        <v>16</v>
      </c>
      <c r="D95" s="1" t="s">
        <v>18</v>
      </c>
      <c r="E95" s="1" t="s">
        <v>94</v>
      </c>
      <c r="F95" s="6">
        <v>9120</v>
      </c>
      <c r="G95" s="32" t="s">
        <v>110</v>
      </c>
    </row>
    <row r="96" spans="1:7">
      <c r="A96" s="1" t="s">
        <v>108</v>
      </c>
      <c r="B96" s="1" t="s">
        <v>109</v>
      </c>
      <c r="C96" s="31" t="s">
        <v>16</v>
      </c>
      <c r="D96" s="1" t="s">
        <v>18</v>
      </c>
      <c r="E96" s="1" t="s">
        <v>95</v>
      </c>
      <c r="F96" s="6">
        <v>3420</v>
      </c>
      <c r="G96" s="32" t="s">
        <v>110</v>
      </c>
    </row>
    <row r="97" spans="1:7">
      <c r="A97" s="1" t="s">
        <v>108</v>
      </c>
      <c r="B97" s="1" t="s">
        <v>109</v>
      </c>
      <c r="C97" s="31" t="s">
        <v>16</v>
      </c>
      <c r="D97" s="1" t="s">
        <v>18</v>
      </c>
      <c r="E97" s="1" t="s">
        <v>96</v>
      </c>
      <c r="F97" s="6">
        <v>4788</v>
      </c>
      <c r="G97" s="32" t="s">
        <v>110</v>
      </c>
    </row>
    <row r="98" spans="1:7">
      <c r="A98" s="1" t="s">
        <v>108</v>
      </c>
      <c r="B98" s="1" t="s">
        <v>109</v>
      </c>
      <c r="C98" s="31" t="s">
        <v>16</v>
      </c>
      <c r="D98" s="1" t="s">
        <v>18</v>
      </c>
      <c r="E98" s="1" t="s">
        <v>97</v>
      </c>
      <c r="F98" s="6">
        <v>4104</v>
      </c>
      <c r="G98" s="32" t="s">
        <v>110</v>
      </c>
    </row>
    <row r="99" spans="1:7">
      <c r="A99" s="1" t="s">
        <v>108</v>
      </c>
      <c r="B99" s="1" t="s">
        <v>109</v>
      </c>
      <c r="C99" s="31" t="s">
        <v>16</v>
      </c>
      <c r="D99" s="1" t="s">
        <v>18</v>
      </c>
      <c r="E99" s="1" t="s">
        <v>98</v>
      </c>
      <c r="F99" s="6">
        <v>2052</v>
      </c>
      <c r="G99" s="32" t="s">
        <v>110</v>
      </c>
    </row>
    <row r="100" spans="1:7">
      <c r="A100" s="1" t="s">
        <v>108</v>
      </c>
      <c r="B100" s="1" t="s">
        <v>109</v>
      </c>
      <c r="C100" s="31" t="s">
        <v>16</v>
      </c>
      <c r="D100" s="1" t="s">
        <v>18</v>
      </c>
      <c r="E100" s="1" t="s">
        <v>99</v>
      </c>
      <c r="F100" s="6">
        <v>1596</v>
      </c>
      <c r="G100" s="32" t="s">
        <v>110</v>
      </c>
    </row>
    <row r="101" spans="1:7">
      <c r="A101" s="1" t="s">
        <v>108</v>
      </c>
      <c r="B101" s="1" t="s">
        <v>109</v>
      </c>
      <c r="C101" s="31" t="s">
        <v>16</v>
      </c>
      <c r="D101" s="1" t="s">
        <v>18</v>
      </c>
      <c r="E101" s="1" t="s">
        <v>100</v>
      </c>
      <c r="F101" s="6">
        <v>5928</v>
      </c>
      <c r="G101" s="32" t="s">
        <v>110</v>
      </c>
    </row>
    <row r="102" spans="1:7">
      <c r="A102" s="1" t="s">
        <v>108</v>
      </c>
      <c r="B102" s="1" t="s">
        <v>109</v>
      </c>
      <c r="C102" s="31" t="s">
        <v>16</v>
      </c>
      <c r="D102" s="1" t="s">
        <v>18</v>
      </c>
      <c r="E102" s="1" t="s">
        <v>101</v>
      </c>
      <c r="F102" s="6">
        <v>3192</v>
      </c>
      <c r="G102" s="32" t="s">
        <v>110</v>
      </c>
    </row>
    <row r="103" spans="1:7">
      <c r="A103" s="1" t="s">
        <v>108</v>
      </c>
      <c r="B103" s="1" t="s">
        <v>109</v>
      </c>
      <c r="C103" s="31" t="s">
        <v>16</v>
      </c>
      <c r="D103" s="1" t="s">
        <v>18</v>
      </c>
      <c r="E103" s="1" t="s">
        <v>102</v>
      </c>
      <c r="F103" s="6">
        <v>912</v>
      </c>
      <c r="G103" s="32" t="s">
        <v>110</v>
      </c>
    </row>
    <row r="104" spans="1:7">
      <c r="A104" s="1" t="s">
        <v>108</v>
      </c>
      <c r="B104" s="1" t="s">
        <v>109</v>
      </c>
      <c r="C104" s="31" t="s">
        <v>16</v>
      </c>
      <c r="D104" s="1" t="s">
        <v>18</v>
      </c>
      <c r="E104" s="1" t="s">
        <v>103</v>
      </c>
      <c r="F104" s="6">
        <v>1368</v>
      </c>
      <c r="G104" s="32" t="s">
        <v>110</v>
      </c>
    </row>
    <row r="105" spans="1:7">
      <c r="A105" s="1" t="s">
        <v>108</v>
      </c>
      <c r="B105" s="1" t="s">
        <v>109</v>
      </c>
      <c r="C105" s="31" t="s">
        <v>16</v>
      </c>
      <c r="D105" s="1" t="s">
        <v>18</v>
      </c>
      <c r="E105" s="1" t="s">
        <v>104</v>
      </c>
      <c r="F105" s="6">
        <v>1140</v>
      </c>
      <c r="G105" s="32" t="s">
        <v>110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5"/>
  <sheetViews>
    <sheetView tabSelected="1" workbookViewId="0">
      <selection activeCell="B19" sqref="B19:B25"/>
    </sheetView>
  </sheetViews>
  <sheetFormatPr defaultColWidth="9.02654867256637" defaultRowHeight="14.25"/>
  <cols>
    <col min="1" max="1" width="20.9557522123894" customWidth="1"/>
    <col min="2" max="2" width="15.0088495575221" customWidth="1"/>
    <col min="3" max="3" width="10.7964601769912" customWidth="1"/>
    <col min="5" max="5" width="27.0176991150442" customWidth="1"/>
    <col min="6" max="6" width="12.6902654867257" customWidth="1"/>
    <col min="7" max="7" width="19.2566371681416" customWidth="1"/>
  </cols>
  <sheetData>
    <row r="1" spans="1:7">
      <c r="A1" s="2" t="s">
        <v>7</v>
      </c>
      <c r="B1" s="2" t="s">
        <v>11</v>
      </c>
      <c r="C1" s="2" t="s">
        <v>14</v>
      </c>
      <c r="D1" s="2" t="s">
        <v>17</v>
      </c>
      <c r="E1" s="2" t="s">
        <v>111</v>
      </c>
      <c r="F1" s="2" t="s">
        <v>21</v>
      </c>
      <c r="G1" s="2" t="s">
        <v>23</v>
      </c>
    </row>
    <row r="2" spans="1:13">
      <c r="A2" s="1" t="s">
        <v>112</v>
      </c>
      <c r="B2" s="1" t="s">
        <v>13</v>
      </c>
      <c r="C2" s="31" t="s">
        <v>16</v>
      </c>
      <c r="D2" s="1" t="s">
        <v>18</v>
      </c>
      <c r="E2" s="5" t="s">
        <v>113</v>
      </c>
      <c r="F2" s="1">
        <f>15500*0.995</f>
        <v>15422.5</v>
      </c>
      <c r="G2" s="32" t="s">
        <v>114</v>
      </c>
      <c r="I2" s="1"/>
      <c r="J2" s="4"/>
      <c r="K2" s="1"/>
      <c r="L2" s="1"/>
      <c r="M2" s="1"/>
    </row>
    <row r="3" spans="1:13">
      <c r="A3" s="1" t="s">
        <v>112</v>
      </c>
      <c r="B3" s="1" t="s">
        <v>13</v>
      </c>
      <c r="C3" s="31" t="s">
        <v>16</v>
      </c>
      <c r="D3" s="1" t="s">
        <v>18</v>
      </c>
      <c r="E3" s="5" t="s">
        <v>115</v>
      </c>
      <c r="F3" s="1">
        <f>19500*1.0012</f>
        <v>19523.4</v>
      </c>
      <c r="G3" s="32" t="s">
        <v>114</v>
      </c>
      <c r="I3" s="1"/>
      <c r="J3" s="4"/>
      <c r="K3" s="1"/>
      <c r="L3" s="1"/>
      <c r="M3" s="1"/>
    </row>
    <row r="4" spans="1:13">
      <c r="A4" s="1" t="s">
        <v>112</v>
      </c>
      <c r="B4" s="1" t="s">
        <v>13</v>
      </c>
      <c r="C4" s="31" t="s">
        <v>16</v>
      </c>
      <c r="D4" s="1" t="s">
        <v>18</v>
      </c>
      <c r="E4" s="5" t="s">
        <v>116</v>
      </c>
      <c r="F4" s="1">
        <v>12234420</v>
      </c>
      <c r="G4" s="32" t="s">
        <v>114</v>
      </c>
      <c r="I4" s="1"/>
      <c r="J4" s="4"/>
      <c r="K4" s="1"/>
      <c r="L4" s="3"/>
      <c r="M4" s="1"/>
    </row>
    <row r="5" spans="1:13">
      <c r="A5" s="1" t="s">
        <v>112</v>
      </c>
      <c r="B5" s="1" t="s">
        <v>13</v>
      </c>
      <c r="C5" s="31" t="s">
        <v>16</v>
      </c>
      <c r="D5" s="1" t="s">
        <v>18</v>
      </c>
      <c r="E5" s="1" t="s">
        <v>117</v>
      </c>
      <c r="F5" s="1">
        <v>400200</v>
      </c>
      <c r="G5" s="32" t="s">
        <v>114</v>
      </c>
      <c r="I5" s="1"/>
      <c r="J5" s="4"/>
      <c r="K5" s="1"/>
      <c r="L5" s="1"/>
      <c r="M5" s="1"/>
    </row>
    <row r="6" spans="1:13">
      <c r="A6" s="1" t="s">
        <v>112</v>
      </c>
      <c r="B6" s="1" t="s">
        <v>13</v>
      </c>
      <c r="C6" s="31" t="s">
        <v>16</v>
      </c>
      <c r="D6" s="1" t="s">
        <v>18</v>
      </c>
      <c r="E6" s="1" t="s">
        <v>118</v>
      </c>
      <c r="F6" s="1">
        <v>131000</v>
      </c>
      <c r="G6" s="32" t="s">
        <v>114</v>
      </c>
      <c r="I6" s="1"/>
      <c r="J6" s="4"/>
      <c r="K6" s="1"/>
      <c r="L6" s="1"/>
      <c r="M6" s="1"/>
    </row>
    <row r="7" spans="1:13">
      <c r="A7" s="1" t="s">
        <v>112</v>
      </c>
      <c r="B7" s="1" t="s">
        <v>13</v>
      </c>
      <c r="C7" s="31" t="s">
        <v>16</v>
      </c>
      <c r="D7" s="1" t="s">
        <v>18</v>
      </c>
      <c r="E7" s="1" t="s">
        <v>119</v>
      </c>
      <c r="F7" s="1">
        <v>123000</v>
      </c>
      <c r="G7" s="32" t="s">
        <v>114</v>
      </c>
      <c r="I7" s="1"/>
      <c r="J7" s="4"/>
      <c r="K7" s="1"/>
      <c r="L7" s="3"/>
      <c r="M7" s="6"/>
    </row>
    <row r="8" spans="1:12">
      <c r="A8" s="1" t="s">
        <v>112</v>
      </c>
      <c r="B8" s="1" t="s">
        <v>13</v>
      </c>
      <c r="C8" s="31" t="s">
        <v>16</v>
      </c>
      <c r="D8" s="1" t="s">
        <v>18</v>
      </c>
      <c r="E8" s="1" t="s">
        <v>120</v>
      </c>
      <c r="F8" s="1">
        <v>145541</v>
      </c>
      <c r="G8" s="32" t="s">
        <v>114</v>
      </c>
      <c r="I8" s="1"/>
      <c r="J8" s="4"/>
      <c r="K8" s="1"/>
      <c r="L8" s="1"/>
    </row>
    <row r="9" spans="1:13">
      <c r="A9" s="1" t="s">
        <v>112</v>
      </c>
      <c r="B9" s="1" t="s">
        <v>13</v>
      </c>
      <c r="C9" s="31" t="s">
        <v>16</v>
      </c>
      <c r="D9" s="1" t="s">
        <v>18</v>
      </c>
      <c r="E9" s="1" t="s">
        <v>121</v>
      </c>
      <c r="F9" s="1">
        <v>983123.21</v>
      </c>
      <c r="G9" s="32" t="s">
        <v>114</v>
      </c>
      <c r="I9" s="1"/>
      <c r="J9" s="4"/>
      <c r="K9" s="1"/>
      <c r="L9" s="1"/>
      <c r="M9" s="1"/>
    </row>
    <row r="10" spans="1:13">
      <c r="A10" s="1" t="s">
        <v>112</v>
      </c>
      <c r="B10" s="1" t="s">
        <v>106</v>
      </c>
      <c r="C10" s="31" t="s">
        <v>16</v>
      </c>
      <c r="D10" s="1" t="s">
        <v>18</v>
      </c>
      <c r="E10" s="5" t="s">
        <v>113</v>
      </c>
      <c r="F10" s="1">
        <v>15500</v>
      </c>
      <c r="G10" s="32" t="s">
        <v>122</v>
      </c>
      <c r="I10" s="1"/>
      <c r="J10" s="4"/>
      <c r="K10" s="1"/>
      <c r="L10" s="3"/>
      <c r="M10" s="6"/>
    </row>
    <row r="11" spans="1:7">
      <c r="A11" s="1" t="s">
        <v>112</v>
      </c>
      <c r="B11" s="1" t="s">
        <v>106</v>
      </c>
      <c r="C11" s="31" t="s">
        <v>16</v>
      </c>
      <c r="D11" s="1" t="s">
        <v>18</v>
      </c>
      <c r="E11" s="5" t="s">
        <v>115</v>
      </c>
      <c r="F11" s="1">
        <v>19500</v>
      </c>
      <c r="G11" s="32" t="s">
        <v>122</v>
      </c>
    </row>
    <row r="12" spans="1:7">
      <c r="A12" s="1" t="s">
        <v>112</v>
      </c>
      <c r="B12" s="1" t="s">
        <v>106</v>
      </c>
      <c r="C12" s="31" t="s">
        <v>16</v>
      </c>
      <c r="D12" s="1" t="s">
        <v>18</v>
      </c>
      <c r="E12" s="5" t="s">
        <v>116</v>
      </c>
      <c r="F12" s="6">
        <v>12234420</v>
      </c>
      <c r="G12" s="32" t="s">
        <v>122</v>
      </c>
    </row>
    <row r="13" spans="1:7">
      <c r="A13" s="1" t="s">
        <v>112</v>
      </c>
      <c r="B13" s="1" t="s">
        <v>106</v>
      </c>
      <c r="C13" s="31" t="s">
        <v>16</v>
      </c>
      <c r="D13" s="1" t="s">
        <v>18</v>
      </c>
      <c r="E13" s="1" t="s">
        <v>117</v>
      </c>
      <c r="F13" s="1">
        <v>398712</v>
      </c>
      <c r="G13" s="32" t="s">
        <v>122</v>
      </c>
    </row>
    <row r="14" spans="1:7">
      <c r="A14" s="1" t="s">
        <v>112</v>
      </c>
      <c r="B14" s="1" t="s">
        <v>106</v>
      </c>
      <c r="C14" s="31" t="s">
        <v>16</v>
      </c>
      <c r="D14" s="1" t="s">
        <v>18</v>
      </c>
      <c r="E14" s="1" t="s">
        <v>118</v>
      </c>
      <c r="F14" s="1">
        <v>195431</v>
      </c>
      <c r="G14" s="32" t="s">
        <v>122</v>
      </c>
    </row>
    <row r="15" spans="1:7">
      <c r="A15" s="1" t="s">
        <v>112</v>
      </c>
      <c r="B15" s="1" t="s">
        <v>106</v>
      </c>
      <c r="C15" s="31" t="s">
        <v>16</v>
      </c>
      <c r="D15" s="1" t="s">
        <v>18</v>
      </c>
      <c r="E15" s="1" t="s">
        <v>119</v>
      </c>
      <c r="F15" s="1">
        <v>154750</v>
      </c>
      <c r="G15" s="32" t="s">
        <v>122</v>
      </c>
    </row>
    <row r="16" spans="1:7">
      <c r="A16" s="1" t="s">
        <v>112</v>
      </c>
      <c r="B16" s="1" t="s">
        <v>106</v>
      </c>
      <c r="C16" s="31" t="s">
        <v>16</v>
      </c>
      <c r="D16" s="1" t="s">
        <v>18</v>
      </c>
      <c r="E16" s="1" t="s">
        <v>120</v>
      </c>
      <c r="F16" s="1">
        <v>120000</v>
      </c>
      <c r="G16" s="32" t="s">
        <v>122</v>
      </c>
    </row>
    <row r="17" spans="1:7">
      <c r="A17" s="1" t="s">
        <v>112</v>
      </c>
      <c r="B17" s="1" t="s">
        <v>106</v>
      </c>
      <c r="C17" s="31" t="s">
        <v>16</v>
      </c>
      <c r="D17" s="1" t="s">
        <v>18</v>
      </c>
      <c r="E17" s="1" t="s">
        <v>121</v>
      </c>
      <c r="F17" s="1">
        <v>1000000</v>
      </c>
      <c r="G17" s="32" t="s">
        <v>122</v>
      </c>
    </row>
    <row r="18" spans="1:7">
      <c r="A18" s="1" t="s">
        <v>123</v>
      </c>
      <c r="B18" s="1" t="s">
        <v>109</v>
      </c>
      <c r="C18" s="31" t="s">
        <v>16</v>
      </c>
      <c r="D18" s="1" t="s">
        <v>18</v>
      </c>
      <c r="E18" s="5" t="s">
        <v>113</v>
      </c>
      <c r="F18" s="1">
        <v>17000</v>
      </c>
      <c r="G18" s="32" t="s">
        <v>124</v>
      </c>
    </row>
    <row r="19" spans="1:7">
      <c r="A19" s="1" t="s">
        <v>123</v>
      </c>
      <c r="B19" s="1" t="s">
        <v>109</v>
      </c>
      <c r="C19" s="31" t="s">
        <v>16</v>
      </c>
      <c r="D19" s="1" t="s">
        <v>18</v>
      </c>
      <c r="E19" s="5" t="s">
        <v>115</v>
      </c>
      <c r="F19" s="1">
        <v>19499</v>
      </c>
      <c r="G19" s="32" t="s">
        <v>124</v>
      </c>
    </row>
    <row r="20" spans="1:7">
      <c r="A20" s="1" t="s">
        <v>123</v>
      </c>
      <c r="B20" s="1" t="s">
        <v>109</v>
      </c>
      <c r="C20" s="31" t="s">
        <v>16</v>
      </c>
      <c r="D20" s="1" t="s">
        <v>18</v>
      </c>
      <c r="E20" s="5" t="s">
        <v>116</v>
      </c>
      <c r="F20" s="6">
        <v>25065</v>
      </c>
      <c r="G20" s="32" t="s">
        <v>124</v>
      </c>
    </row>
    <row r="21" spans="1:7">
      <c r="A21" s="1" t="s">
        <v>123</v>
      </c>
      <c r="B21" s="1" t="s">
        <v>109</v>
      </c>
      <c r="C21" s="31" t="s">
        <v>16</v>
      </c>
      <c r="D21" s="1" t="s">
        <v>18</v>
      </c>
      <c r="E21" s="1" t="s">
        <v>117</v>
      </c>
      <c r="F21">
        <v>367440.47</v>
      </c>
      <c r="G21" s="32" t="s">
        <v>124</v>
      </c>
    </row>
    <row r="22" spans="1:7">
      <c r="A22" s="1" t="s">
        <v>123</v>
      </c>
      <c r="B22" s="1" t="s">
        <v>109</v>
      </c>
      <c r="C22" s="31" t="s">
        <v>16</v>
      </c>
      <c r="D22" s="1" t="s">
        <v>18</v>
      </c>
      <c r="E22" s="1" t="s">
        <v>118</v>
      </c>
      <c r="F22">
        <v>180103.07</v>
      </c>
      <c r="G22" s="32" t="s">
        <v>124</v>
      </c>
    </row>
    <row r="23" spans="1:7">
      <c r="A23" s="1" t="s">
        <v>123</v>
      </c>
      <c r="B23" s="1" t="s">
        <v>109</v>
      </c>
      <c r="C23" s="31" t="s">
        <v>16</v>
      </c>
      <c r="D23" s="1" t="s">
        <v>18</v>
      </c>
      <c r="E23" s="1" t="s">
        <v>119</v>
      </c>
      <c r="F23">
        <v>142612.74</v>
      </c>
      <c r="G23" s="32" t="s">
        <v>124</v>
      </c>
    </row>
    <row r="24" spans="1:7">
      <c r="A24" s="1" t="s">
        <v>123</v>
      </c>
      <c r="B24" s="1" t="s">
        <v>109</v>
      </c>
      <c r="C24" s="31" t="s">
        <v>16</v>
      </c>
      <c r="D24" s="1" t="s">
        <v>18</v>
      </c>
      <c r="E24" s="1" t="s">
        <v>120</v>
      </c>
      <c r="F24">
        <v>110588.23</v>
      </c>
      <c r="G24" s="32" t="s">
        <v>124</v>
      </c>
    </row>
    <row r="25" spans="1:7">
      <c r="A25" s="1" t="s">
        <v>123</v>
      </c>
      <c r="B25" s="1" t="s">
        <v>109</v>
      </c>
      <c r="C25" s="31" t="s">
        <v>16</v>
      </c>
      <c r="D25" s="1" t="s">
        <v>18</v>
      </c>
      <c r="E25" s="1" t="s">
        <v>121</v>
      </c>
      <c r="F25">
        <v>921568.6</v>
      </c>
      <c r="G25" s="32" t="s">
        <v>124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6"/>
  <sheetViews>
    <sheetView workbookViewId="0">
      <selection activeCell="A2" sqref="A2"/>
    </sheetView>
  </sheetViews>
  <sheetFormatPr defaultColWidth="9.02654867256637" defaultRowHeight="14.25" outlineLevelCol="2"/>
  <cols>
    <col min="1" max="1" width="17.0619469026549" style="1" customWidth="1"/>
    <col min="2" max="2" width="23.3716814159292" style="1" customWidth="1"/>
    <col min="3" max="3" width="30.8672566371681" style="1" customWidth="1"/>
    <col min="5" max="5" width="11.7964601769912" customWidth="1"/>
    <col min="6" max="6" width="19.8849557522124" customWidth="1"/>
  </cols>
  <sheetData>
    <row r="1" spans="1:3">
      <c r="A1" s="2" t="s">
        <v>19</v>
      </c>
      <c r="B1" s="2" t="s">
        <v>125</v>
      </c>
      <c r="C1" s="2" t="s">
        <v>126</v>
      </c>
    </row>
    <row r="2" spans="1:3">
      <c r="A2" s="1" t="s">
        <v>20</v>
      </c>
      <c r="B2" s="1" t="s">
        <v>127</v>
      </c>
      <c r="C2" s="1" t="s">
        <v>113</v>
      </c>
    </row>
    <row r="3" spans="1:3">
      <c r="A3" s="1" t="s">
        <v>71</v>
      </c>
      <c r="B3" s="1" t="s">
        <v>20</v>
      </c>
      <c r="C3" s="1" t="s">
        <v>127</v>
      </c>
    </row>
    <row r="4" spans="1:3">
      <c r="A4" s="1" t="s">
        <v>72</v>
      </c>
      <c r="B4" s="1" t="s">
        <v>20</v>
      </c>
      <c r="C4" s="1" t="s">
        <v>127</v>
      </c>
    </row>
    <row r="5" spans="1:3">
      <c r="A5" s="1" t="s">
        <v>73</v>
      </c>
      <c r="B5" s="1" t="s">
        <v>20</v>
      </c>
      <c r="C5" s="1" t="s">
        <v>127</v>
      </c>
    </row>
    <row r="6" spans="1:3">
      <c r="A6" s="1" t="s">
        <v>74</v>
      </c>
      <c r="B6" s="1" t="s">
        <v>71</v>
      </c>
      <c r="C6" s="1" t="s">
        <v>127</v>
      </c>
    </row>
    <row r="7" spans="1:3">
      <c r="A7" s="1" t="s">
        <v>75</v>
      </c>
      <c r="B7" s="1" t="s">
        <v>71</v>
      </c>
      <c r="C7" s="1" t="s">
        <v>127</v>
      </c>
    </row>
    <row r="8" spans="1:3">
      <c r="A8" s="1" t="s">
        <v>76</v>
      </c>
      <c r="B8" s="1" t="s">
        <v>75</v>
      </c>
      <c r="C8" s="1" t="s">
        <v>127</v>
      </c>
    </row>
    <row r="9" spans="1:3">
      <c r="A9" s="1" t="s">
        <v>77</v>
      </c>
      <c r="B9" s="1" t="s">
        <v>75</v>
      </c>
      <c r="C9" s="1" t="s">
        <v>127</v>
      </c>
    </row>
    <row r="10" spans="1:3">
      <c r="A10" s="1" t="s">
        <v>78</v>
      </c>
      <c r="B10" s="1" t="s">
        <v>75</v>
      </c>
      <c r="C10" s="1" t="s">
        <v>127</v>
      </c>
    </row>
    <row r="11" spans="1:3">
      <c r="A11" s="1" t="s">
        <v>79</v>
      </c>
      <c r="B11" s="1" t="s">
        <v>127</v>
      </c>
      <c r="C11" s="1" t="s">
        <v>115</v>
      </c>
    </row>
    <row r="12" spans="1:3">
      <c r="A12" s="1" t="s">
        <v>80</v>
      </c>
      <c r="B12" s="1" t="s">
        <v>79</v>
      </c>
      <c r="C12" s="1" t="s">
        <v>127</v>
      </c>
    </row>
    <row r="13" spans="1:3">
      <c r="A13" s="1" t="s">
        <v>81</v>
      </c>
      <c r="B13" s="1" t="s">
        <v>79</v>
      </c>
      <c r="C13" s="1" t="s">
        <v>127</v>
      </c>
    </row>
    <row r="14" spans="1:3">
      <c r="A14" s="1" t="s">
        <v>82</v>
      </c>
      <c r="B14" s="1" t="s">
        <v>79</v>
      </c>
      <c r="C14" s="1" t="s">
        <v>127</v>
      </c>
    </row>
    <row r="15" spans="1:3">
      <c r="A15" s="1" t="s">
        <v>83</v>
      </c>
      <c r="B15" s="1" t="s">
        <v>79</v>
      </c>
      <c r="C15" s="1" t="s">
        <v>127</v>
      </c>
    </row>
    <row r="16" spans="1:3">
      <c r="A16" s="1" t="s">
        <v>84</v>
      </c>
      <c r="B16" s="1" t="s">
        <v>80</v>
      </c>
      <c r="C16" s="1" t="s">
        <v>127</v>
      </c>
    </row>
    <row r="17" spans="1:3">
      <c r="A17" s="1" t="s">
        <v>85</v>
      </c>
      <c r="B17" s="1" t="s">
        <v>80</v>
      </c>
      <c r="C17" s="1" t="s">
        <v>127</v>
      </c>
    </row>
    <row r="18" spans="1:3">
      <c r="A18" s="1" t="s">
        <v>86</v>
      </c>
      <c r="B18" s="1" t="s">
        <v>80</v>
      </c>
      <c r="C18" s="1" t="s">
        <v>127</v>
      </c>
    </row>
    <row r="19" spans="1:3">
      <c r="A19" s="1" t="s">
        <v>87</v>
      </c>
      <c r="B19" s="1" t="s">
        <v>84</v>
      </c>
      <c r="C19" s="1" t="s">
        <v>127</v>
      </c>
    </row>
    <row r="20" spans="1:3">
      <c r="A20" s="1" t="s">
        <v>88</v>
      </c>
      <c r="B20" s="1" t="s">
        <v>84</v>
      </c>
      <c r="C20" s="1" t="s">
        <v>127</v>
      </c>
    </row>
    <row r="21" spans="1:3">
      <c r="A21" s="1" t="s">
        <v>89</v>
      </c>
      <c r="B21" s="1" t="s">
        <v>84</v>
      </c>
      <c r="C21" s="1" t="s">
        <v>127</v>
      </c>
    </row>
    <row r="22" spans="1:3">
      <c r="A22" s="1" t="s">
        <v>90</v>
      </c>
      <c r="B22" s="1" t="s">
        <v>84</v>
      </c>
      <c r="C22" s="1" t="s">
        <v>127</v>
      </c>
    </row>
    <row r="23" spans="1:3">
      <c r="A23" s="1" t="s">
        <v>91</v>
      </c>
      <c r="B23" s="1" t="s">
        <v>84</v>
      </c>
      <c r="C23" s="1" t="s">
        <v>127</v>
      </c>
    </row>
    <row r="24" spans="1:3">
      <c r="A24" s="3" t="s">
        <v>92</v>
      </c>
      <c r="B24" s="1" t="s">
        <v>127</v>
      </c>
      <c r="C24" s="1" t="s">
        <v>116</v>
      </c>
    </row>
    <row r="25" spans="1:3">
      <c r="A25" s="1" t="s">
        <v>93</v>
      </c>
      <c r="B25" s="3" t="s">
        <v>92</v>
      </c>
      <c r="C25" s="1" t="s">
        <v>127</v>
      </c>
    </row>
    <row r="26" spans="1:3">
      <c r="A26" s="1" t="s">
        <v>94</v>
      </c>
      <c r="B26" s="3" t="s">
        <v>92</v>
      </c>
      <c r="C26" s="1" t="s">
        <v>127</v>
      </c>
    </row>
    <row r="27" spans="1:3">
      <c r="A27" s="1" t="s">
        <v>95</v>
      </c>
      <c r="B27" s="1" t="s">
        <v>93</v>
      </c>
      <c r="C27" s="1" t="s">
        <v>127</v>
      </c>
    </row>
    <row r="28" spans="1:3">
      <c r="A28" s="1" t="s">
        <v>96</v>
      </c>
      <c r="B28" s="1" t="s">
        <v>93</v>
      </c>
      <c r="C28" s="1" t="s">
        <v>127</v>
      </c>
    </row>
    <row r="29" spans="1:3">
      <c r="A29" s="1" t="s">
        <v>97</v>
      </c>
      <c r="B29" s="1" t="s">
        <v>93</v>
      </c>
      <c r="C29" s="1" t="s">
        <v>127</v>
      </c>
    </row>
    <row r="30" spans="1:3">
      <c r="A30" s="1" t="s">
        <v>98</v>
      </c>
      <c r="B30" s="1" t="s">
        <v>93</v>
      </c>
      <c r="C30" s="1" t="s">
        <v>127</v>
      </c>
    </row>
    <row r="31" spans="1:3">
      <c r="A31" s="1" t="s">
        <v>99</v>
      </c>
      <c r="B31" s="1" t="s">
        <v>93</v>
      </c>
      <c r="C31" s="1" t="s">
        <v>127</v>
      </c>
    </row>
    <row r="32" spans="1:3">
      <c r="A32" s="1" t="s">
        <v>100</v>
      </c>
      <c r="B32" s="1" t="s">
        <v>94</v>
      </c>
      <c r="C32" s="1" t="s">
        <v>127</v>
      </c>
    </row>
    <row r="33" spans="1:3">
      <c r="A33" s="1" t="s">
        <v>101</v>
      </c>
      <c r="B33" s="1" t="s">
        <v>94</v>
      </c>
      <c r="C33" s="1" t="s">
        <v>127</v>
      </c>
    </row>
    <row r="34" spans="1:3">
      <c r="A34" s="1" t="s">
        <v>102</v>
      </c>
      <c r="B34" s="1" t="s">
        <v>95</v>
      </c>
      <c r="C34" s="1" t="s">
        <v>127</v>
      </c>
    </row>
    <row r="35" spans="1:3">
      <c r="A35" s="1" t="s">
        <v>103</v>
      </c>
      <c r="B35" s="1" t="s">
        <v>95</v>
      </c>
      <c r="C35" s="1" t="s">
        <v>127</v>
      </c>
    </row>
    <row r="36" spans="1:3">
      <c r="A36" s="1" t="s">
        <v>104</v>
      </c>
      <c r="B36" s="1" t="s">
        <v>95</v>
      </c>
      <c r="C36" s="1" t="s">
        <v>127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Дата-контракт</vt:lpstr>
      <vt:lpstr>MSFO_PL__RU01</vt:lpstr>
      <vt:lpstr>MSFO_MARGINALITY_BASE__RU01</vt:lpstr>
      <vt:lpstr>MSFO_PL_ITEMS_MAPPING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Павел</dc:creator>
  <cp:lastModifiedBy>Павел Ташкинов</cp:lastModifiedBy>
  <dcterms:created xsi:type="dcterms:W3CDTF">2026-02-14T05:11:00Z</dcterms:created>
  <dcterms:modified xsi:type="dcterms:W3CDTF">2026-02-15T03:33:53Z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8493B5F5C9994B419010C3EE36B59BB1_11</vt:lpwstr>
  </property>
  <property fmtid="{D5CDD505-2E9C-101B-9397-08002B2CF9AE}" pid="3" name="KSOProductBuildVer">
    <vt:lpwstr>1049-12.2.0.23196</vt:lpwstr>
  </property>
</Properties>
</file>